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avier/Desktop/"/>
    </mc:Choice>
  </mc:AlternateContent>
  <xr:revisionPtr revIDLastSave="0" documentId="13_ncr:40009_{1DF51B7E-0111-9E43-BC94-366A03D6028C}" xr6:coauthVersionLast="43" xr6:coauthVersionMax="43" xr10:uidLastSave="{00000000-0000-0000-0000-000000000000}"/>
  <bookViews>
    <workbookView xWindow="2240" yWindow="460" windowWidth="24960" windowHeight="17540"/>
  </bookViews>
  <sheets>
    <sheet name="Result" sheetId="4" r:id="rId1"/>
    <sheet name="Convert" sheetId="1" r:id="rId2"/>
    <sheet name="Tables" sheetId="3" r:id="rId3"/>
    <sheet name="Graphs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0" i="3" l="1"/>
  <c r="L20" i="3"/>
  <c r="J20" i="3"/>
  <c r="K18" i="3"/>
  <c r="L18" i="3"/>
  <c r="J18" i="3"/>
  <c r="L17" i="3"/>
  <c r="K17" i="3"/>
  <c r="J17" i="3"/>
  <c r="L16" i="3"/>
  <c r="K16" i="3"/>
  <c r="J16" i="3"/>
  <c r="L9" i="3"/>
  <c r="K9" i="3"/>
  <c r="J9" i="3"/>
  <c r="L8" i="3"/>
  <c r="K8" i="3"/>
  <c r="J8" i="3"/>
  <c r="M4" i="3"/>
  <c r="L4" i="3"/>
  <c r="K4" i="3"/>
  <c r="J4" i="3"/>
  <c r="M3" i="3"/>
  <c r="K3" i="3"/>
  <c r="L3" i="3"/>
  <c r="J3" i="3"/>
  <c r="L41" i="3"/>
  <c r="K41" i="3"/>
  <c r="J41" i="3"/>
  <c r="L39" i="3"/>
  <c r="K39" i="3"/>
  <c r="J39" i="3"/>
  <c r="K38" i="3"/>
  <c r="J38" i="3"/>
  <c r="L38" i="3"/>
  <c r="L37" i="3"/>
  <c r="K37" i="3"/>
  <c r="J37" i="3"/>
  <c r="L30" i="3"/>
  <c r="K30" i="3"/>
  <c r="J30" i="3"/>
  <c r="L29" i="3"/>
  <c r="K29" i="3"/>
  <c r="J29" i="3"/>
  <c r="M25" i="3"/>
  <c r="L25" i="3"/>
  <c r="K25" i="3"/>
  <c r="J25" i="3"/>
  <c r="M24" i="3"/>
  <c r="K24" i="3"/>
  <c r="L24" i="3"/>
  <c r="J24" i="3"/>
  <c r="D41" i="3"/>
  <c r="E41" i="3"/>
  <c r="C41" i="3"/>
  <c r="E39" i="3"/>
  <c r="D39" i="3"/>
  <c r="C39" i="3"/>
  <c r="E38" i="3"/>
  <c r="D38" i="3"/>
  <c r="C38" i="3"/>
  <c r="E37" i="3"/>
  <c r="D37" i="3"/>
  <c r="C37" i="3"/>
  <c r="D30" i="3"/>
  <c r="E30" i="3"/>
  <c r="C30" i="3"/>
  <c r="D29" i="3"/>
  <c r="E29" i="3"/>
  <c r="C29" i="3"/>
  <c r="F25" i="3"/>
  <c r="E25" i="3"/>
  <c r="D25" i="3"/>
  <c r="C25" i="3"/>
  <c r="F24" i="3"/>
  <c r="D24" i="3"/>
  <c r="E24" i="3"/>
  <c r="C24" i="3"/>
  <c r="E3" i="3"/>
  <c r="D3" i="3"/>
  <c r="C3" i="3"/>
  <c r="F3" i="3"/>
  <c r="N58" i="3"/>
  <c r="N54" i="3"/>
  <c r="N53" i="3"/>
  <c r="N52" i="3"/>
  <c r="N51" i="3"/>
  <c r="N50" i="3"/>
  <c r="N49" i="3"/>
  <c r="M58" i="3"/>
  <c r="M54" i="3"/>
  <c r="M53" i="3"/>
  <c r="M52" i="3"/>
  <c r="M51" i="3"/>
  <c r="M50" i="3"/>
  <c r="M49" i="3"/>
  <c r="L58" i="3"/>
  <c r="L54" i="3"/>
  <c r="L53" i="3"/>
  <c r="L52" i="3"/>
  <c r="L51" i="3"/>
  <c r="L50" i="3"/>
  <c r="L49" i="3"/>
  <c r="K58" i="3"/>
  <c r="K54" i="3"/>
  <c r="K53" i="3"/>
  <c r="K52" i="3"/>
  <c r="K51" i="3"/>
  <c r="K50" i="3"/>
  <c r="K49" i="3"/>
  <c r="F60" i="3"/>
  <c r="N59" i="3" s="1"/>
  <c r="E60" i="3"/>
  <c r="M59" i="3" s="1"/>
  <c r="D60" i="3"/>
  <c r="L59" i="3" s="1"/>
  <c r="C60" i="3"/>
  <c r="C48" i="3" s="1"/>
  <c r="C49" i="3" s="1"/>
  <c r="G59" i="3"/>
  <c r="H59" i="3" s="1"/>
  <c r="F56" i="3"/>
  <c r="N55" i="3" s="1"/>
  <c r="E56" i="3"/>
  <c r="E57" i="3" s="1"/>
  <c r="D56" i="3"/>
  <c r="D57" i="3" s="1"/>
  <c r="D58" i="3" s="1"/>
  <c r="L57" i="3" s="1"/>
  <c r="C56" i="3"/>
  <c r="K55" i="3" s="1"/>
  <c r="G55" i="3"/>
  <c r="H55" i="3" s="1"/>
  <c r="G54" i="3"/>
  <c r="H54" i="3" s="1"/>
  <c r="G53" i="3"/>
  <c r="H53" i="3" s="1"/>
  <c r="G52" i="3"/>
  <c r="H52" i="3" s="1"/>
  <c r="G51" i="3"/>
  <c r="H51" i="3" s="1"/>
  <c r="G50" i="3"/>
  <c r="H50" i="3" s="1"/>
  <c r="M40" i="3"/>
  <c r="F40" i="3"/>
  <c r="M36" i="3"/>
  <c r="F36" i="3"/>
  <c r="M35" i="3"/>
  <c r="F35" i="3"/>
  <c r="M34" i="3"/>
  <c r="F34" i="3"/>
  <c r="M33" i="3"/>
  <c r="F33" i="3"/>
  <c r="M32" i="3"/>
  <c r="F32" i="3"/>
  <c r="M31" i="3"/>
  <c r="F31" i="3"/>
  <c r="M28" i="3"/>
  <c r="F28" i="3"/>
  <c r="S20" i="3"/>
  <c r="R19" i="3"/>
  <c r="Q19" i="3"/>
  <c r="P19" i="3"/>
  <c r="M19" i="3"/>
  <c r="F19" i="3"/>
  <c r="S18" i="3"/>
  <c r="S17" i="3"/>
  <c r="S16" i="3"/>
  <c r="R15" i="3"/>
  <c r="Q15" i="3"/>
  <c r="P15" i="3"/>
  <c r="M15" i="3"/>
  <c r="F15" i="3"/>
  <c r="R14" i="3"/>
  <c r="Q14" i="3"/>
  <c r="P14" i="3"/>
  <c r="M14" i="3"/>
  <c r="F14" i="3"/>
  <c r="R13" i="3"/>
  <c r="Q13" i="3"/>
  <c r="P13" i="3"/>
  <c r="M13" i="3"/>
  <c r="F13" i="3"/>
  <c r="R12" i="3"/>
  <c r="Q12" i="3"/>
  <c r="P12" i="3"/>
  <c r="M12" i="3"/>
  <c r="F12" i="3"/>
  <c r="R11" i="3"/>
  <c r="Q11" i="3"/>
  <c r="P11" i="3"/>
  <c r="M11" i="3"/>
  <c r="F11" i="3"/>
  <c r="R10" i="3"/>
  <c r="Q10" i="3"/>
  <c r="P10" i="3"/>
  <c r="M10" i="3"/>
  <c r="F10" i="3"/>
  <c r="S9" i="3"/>
  <c r="S8" i="3"/>
  <c r="S7" i="3"/>
  <c r="M7" i="3"/>
  <c r="F7" i="3"/>
  <c r="J66" i="1"/>
  <c r="P37" i="1" s="1"/>
  <c r="I66" i="1"/>
  <c r="O37" i="1" s="1"/>
  <c r="H66" i="1"/>
  <c r="N37" i="1" s="1"/>
  <c r="G66" i="1"/>
  <c r="M37" i="1" s="1"/>
  <c r="F66" i="1"/>
  <c r="L37" i="1" s="1"/>
  <c r="J61" i="1"/>
  <c r="P36" i="1" s="1"/>
  <c r="I61" i="1"/>
  <c r="O36" i="1" s="1"/>
  <c r="H61" i="1"/>
  <c r="N36" i="1" s="1"/>
  <c r="G61" i="1"/>
  <c r="M36" i="1" s="1"/>
  <c r="F61" i="1"/>
  <c r="L36" i="1" s="1"/>
  <c r="J56" i="1"/>
  <c r="P35" i="1" s="1"/>
  <c r="I56" i="1"/>
  <c r="O35" i="1" s="1"/>
  <c r="H56" i="1"/>
  <c r="N35" i="1" s="1"/>
  <c r="G56" i="1"/>
  <c r="M35" i="1" s="1"/>
  <c r="F56" i="1"/>
  <c r="L35" i="1" s="1"/>
  <c r="J51" i="1"/>
  <c r="P34" i="1" s="1"/>
  <c r="I51" i="1"/>
  <c r="O34" i="1" s="1"/>
  <c r="H51" i="1"/>
  <c r="N34" i="1" s="1"/>
  <c r="G51" i="1"/>
  <c r="M34" i="1" s="1"/>
  <c r="F51" i="1"/>
  <c r="L34" i="1" s="1"/>
  <c r="J46" i="1"/>
  <c r="P33" i="1" s="1"/>
  <c r="I46" i="1"/>
  <c r="O33" i="1" s="1"/>
  <c r="H46" i="1"/>
  <c r="N33" i="1" s="1"/>
  <c r="G46" i="1"/>
  <c r="M33" i="1" s="1"/>
  <c r="F46" i="1"/>
  <c r="L33" i="1" s="1"/>
  <c r="J41" i="1"/>
  <c r="P32" i="1" s="1"/>
  <c r="I41" i="1"/>
  <c r="O32" i="1" s="1"/>
  <c r="H41" i="1"/>
  <c r="N32" i="1" s="1"/>
  <c r="G41" i="1"/>
  <c r="M32" i="1" s="1"/>
  <c r="F41" i="1"/>
  <c r="L32" i="1" s="1"/>
  <c r="J36" i="1"/>
  <c r="P31" i="1" s="1"/>
  <c r="I36" i="1"/>
  <c r="O31" i="1" s="1"/>
  <c r="H36" i="1"/>
  <c r="N31" i="1" s="1"/>
  <c r="G36" i="1"/>
  <c r="M31" i="1" s="1"/>
  <c r="F36" i="1"/>
  <c r="L31" i="1" s="1"/>
  <c r="J31" i="1"/>
  <c r="P30" i="1" s="1"/>
  <c r="I31" i="1"/>
  <c r="O30" i="1" s="1"/>
  <c r="H31" i="1"/>
  <c r="N30" i="1" s="1"/>
  <c r="G31" i="1"/>
  <c r="M30" i="1" s="1"/>
  <c r="F31" i="1"/>
  <c r="L30" i="1" s="1"/>
  <c r="J26" i="1"/>
  <c r="P29" i="1" s="1"/>
  <c r="I26" i="1"/>
  <c r="O29" i="1" s="1"/>
  <c r="H26" i="1"/>
  <c r="N29" i="1" s="1"/>
  <c r="G26" i="1"/>
  <c r="M29" i="1" s="1"/>
  <c r="F26" i="1"/>
  <c r="L29" i="1" s="1"/>
  <c r="J21" i="1"/>
  <c r="P28" i="1" s="1"/>
  <c r="I21" i="1"/>
  <c r="O28" i="1" s="1"/>
  <c r="H21" i="1"/>
  <c r="N28" i="1" s="1"/>
  <c r="G21" i="1"/>
  <c r="M28" i="1" s="1"/>
  <c r="F21" i="1"/>
  <c r="L28" i="1" s="1"/>
  <c r="J16" i="1"/>
  <c r="P27" i="1" s="1"/>
  <c r="I16" i="1"/>
  <c r="O27" i="1" s="1"/>
  <c r="H16" i="1"/>
  <c r="N27" i="1" s="1"/>
  <c r="G16" i="1"/>
  <c r="M27" i="1" s="1"/>
  <c r="F16" i="1"/>
  <c r="L27" i="1" s="1"/>
  <c r="J11" i="1"/>
  <c r="P26" i="1" s="1"/>
  <c r="I11" i="1"/>
  <c r="O26" i="1" s="1"/>
  <c r="H11" i="1"/>
  <c r="N26" i="1" s="1"/>
  <c r="G11" i="1"/>
  <c r="M26" i="1" s="1"/>
  <c r="F11" i="1"/>
  <c r="L26" i="1" s="1"/>
  <c r="J6" i="1"/>
  <c r="P25" i="1" s="1"/>
  <c r="I6" i="1"/>
  <c r="O25" i="1" s="1"/>
  <c r="H6" i="1"/>
  <c r="N25" i="1" s="1"/>
  <c r="G6" i="1"/>
  <c r="M25" i="1" s="1"/>
  <c r="F6" i="1"/>
  <c r="L25" i="1" s="1"/>
  <c r="B66" i="1"/>
  <c r="C66" i="1"/>
  <c r="D66" i="1"/>
  <c r="E66" i="1"/>
  <c r="B61" i="1"/>
  <c r="C61" i="1"/>
  <c r="D61" i="1"/>
  <c r="E61" i="1"/>
  <c r="B56" i="1"/>
  <c r="C56" i="1"/>
  <c r="D56" i="1"/>
  <c r="E56" i="1"/>
  <c r="B51" i="1"/>
  <c r="C51" i="1"/>
  <c r="D51" i="1"/>
  <c r="E51" i="1"/>
  <c r="B46" i="1"/>
  <c r="C46" i="1"/>
  <c r="D46" i="1"/>
  <c r="E46" i="1"/>
  <c r="B41" i="1"/>
  <c r="C41" i="1"/>
  <c r="D41" i="1"/>
  <c r="E41" i="1"/>
  <c r="B36" i="1"/>
  <c r="C36" i="1"/>
  <c r="D36" i="1"/>
  <c r="E36" i="1"/>
  <c r="B31" i="1"/>
  <c r="C31" i="1"/>
  <c r="D31" i="1"/>
  <c r="E31" i="1"/>
  <c r="B26" i="1"/>
  <c r="C26" i="1"/>
  <c r="D26" i="1"/>
  <c r="E26" i="1"/>
  <c r="B21" i="1"/>
  <c r="C21" i="1"/>
  <c r="D21" i="1"/>
  <c r="E21" i="1"/>
  <c r="B16" i="1"/>
  <c r="C16" i="1"/>
  <c r="D16" i="1"/>
  <c r="E16" i="1"/>
  <c r="B11" i="1"/>
  <c r="C11" i="1"/>
  <c r="D11" i="1"/>
  <c r="E11" i="1"/>
  <c r="A66" i="1"/>
  <c r="A61" i="1"/>
  <c r="A56" i="1"/>
  <c r="A51" i="1"/>
  <c r="A46" i="1"/>
  <c r="A41" i="1"/>
  <c r="A36" i="1"/>
  <c r="A31" i="1"/>
  <c r="A26" i="1"/>
  <c r="A21" i="1"/>
  <c r="A16" i="1"/>
  <c r="A11" i="1"/>
  <c r="B6" i="1"/>
  <c r="C6" i="1"/>
  <c r="D6" i="1"/>
  <c r="E6" i="1"/>
  <c r="A6" i="1"/>
  <c r="D4" i="3" l="1"/>
  <c r="D8" i="3" s="1"/>
  <c r="Q8" i="3" s="1"/>
  <c r="S12" i="3"/>
  <c r="M55" i="3"/>
  <c r="E4" i="3"/>
  <c r="E20" i="3" s="1"/>
  <c r="R20" i="3" s="1"/>
  <c r="C4" i="3"/>
  <c r="C20" i="3" s="1"/>
  <c r="P20" i="3" s="1"/>
  <c r="F57" i="3"/>
  <c r="F58" i="3" s="1"/>
  <c r="N57" i="3" s="1"/>
  <c r="E48" i="3"/>
  <c r="M56" i="3"/>
  <c r="E58" i="3"/>
  <c r="M57" i="3" s="1"/>
  <c r="L55" i="3"/>
  <c r="D48" i="3"/>
  <c r="L56" i="3"/>
  <c r="E17" i="3"/>
  <c r="R17" i="3" s="1"/>
  <c r="S14" i="3"/>
  <c r="F48" i="3"/>
  <c r="K47" i="3"/>
  <c r="S11" i="3"/>
  <c r="S15" i="3"/>
  <c r="K48" i="3"/>
  <c r="S10" i="3"/>
  <c r="S13" i="3"/>
  <c r="S19" i="3"/>
  <c r="G56" i="3"/>
  <c r="H56" i="3" s="1"/>
  <c r="G60" i="3"/>
  <c r="H60" i="3" s="1"/>
  <c r="K59" i="3"/>
  <c r="C57" i="3"/>
  <c r="K56" i="3" s="1"/>
  <c r="D9" i="3" l="1"/>
  <c r="Q9" i="3" s="1"/>
  <c r="D18" i="3"/>
  <c r="Q18" i="3" s="1"/>
  <c r="D17" i="3"/>
  <c r="Q17" i="3" s="1"/>
  <c r="D16" i="3"/>
  <c r="Q16" i="3" s="1"/>
  <c r="D20" i="3"/>
  <c r="Q20" i="3" s="1"/>
  <c r="E16" i="3"/>
  <c r="R16" i="3" s="1"/>
  <c r="E8" i="3"/>
  <c r="R8" i="3" s="1"/>
  <c r="E18" i="3"/>
  <c r="R18" i="3" s="1"/>
  <c r="E9" i="3"/>
  <c r="R9" i="3" s="1"/>
  <c r="N56" i="3"/>
  <c r="G48" i="3"/>
  <c r="H48" i="3" s="1"/>
  <c r="F4" i="3"/>
  <c r="C9" i="3"/>
  <c r="P9" i="3" s="1"/>
  <c r="C18" i="3"/>
  <c r="P18" i="3" s="1"/>
  <c r="C8" i="3"/>
  <c r="P8" i="3" s="1"/>
  <c r="C17" i="3"/>
  <c r="P17" i="3" s="1"/>
  <c r="E49" i="3"/>
  <c r="M48" i="3" s="1"/>
  <c r="M47" i="3"/>
  <c r="C16" i="3"/>
  <c r="P16" i="3" s="1"/>
  <c r="D49" i="3"/>
  <c r="L47" i="3"/>
  <c r="F49" i="3"/>
  <c r="N48" i="3" s="1"/>
  <c r="N47" i="3"/>
  <c r="G57" i="3"/>
  <c r="H57" i="3" s="1"/>
  <c r="C58" i="3"/>
  <c r="L48" i="3" l="1"/>
  <c r="G49" i="3"/>
  <c r="H49" i="3" s="1"/>
  <c r="G58" i="3"/>
  <c r="H58" i="3" s="1"/>
  <c r="K57" i="3"/>
</calcChain>
</file>

<file path=xl/sharedStrings.xml><?xml version="1.0" encoding="utf-8"?>
<sst xmlns="http://schemas.openxmlformats.org/spreadsheetml/2006/main" count="50" uniqueCount="19">
  <si>
    <t>x</t>
  </si>
  <si>
    <t>Final Result</t>
  </si>
  <si>
    <t>Non-PUD</t>
  </si>
  <si>
    <t>%</t>
  </si>
  <si>
    <t>AVERAGE</t>
  </si>
  <si>
    <t>10/25 Thur</t>
  </si>
  <si>
    <t>10/24 Wed</t>
  </si>
  <si>
    <t>10/11 Thur</t>
  </si>
  <si>
    <t>10/10 Wed</t>
  </si>
  <si>
    <t>Total</t>
  </si>
  <si>
    <t>Surface</t>
  </si>
  <si>
    <t>South</t>
  </si>
  <si>
    <t>North</t>
  </si>
  <si>
    <t>Thur 10/25/2018</t>
  </si>
  <si>
    <t>Thur 10/11/2018</t>
  </si>
  <si>
    <t>Average</t>
  </si>
  <si>
    <t>Wed 10/24/2018</t>
  </si>
  <si>
    <t>Wed 10/10/2018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</si>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</sst>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6">
    <xf numFmtId="0" fontId="0" fillId="0" borderId="0" xfId="0"/>
    <xf numFmtId="0" fontId="0" fillId="34" borderId="23" xfId="0" applyFill="1" applyBorder="1" applyAlignment="1">
      <alignment horizontal="center"/>
    </xf>
    <xf numFmtId="0" fontId="0" fillId="34" borderId="24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28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33" borderId="26" xfId="0" applyFill="1" applyBorder="1" applyAlignment="1">
      <alignment horizontal="center"/>
    </xf>
    <xf numFmtId="0" fontId="0" fillId="33" borderId="29" xfId="0" applyFill="1" applyBorder="1" applyAlignment="1">
      <alignment horizontal="center"/>
    </xf>
    <xf numFmtId="0" fontId="0" fillId="33" borderId="31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33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34" xfId="0" applyFill="1" applyBorder="1" applyAlignment="1">
      <alignment horizontal="center"/>
    </xf>
    <xf numFmtId="0" fontId="0" fillId="33" borderId="35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34" borderId="36" xfId="0" applyFill="1" applyBorder="1" applyAlignment="1">
      <alignment horizontal="center"/>
    </xf>
    <xf numFmtId="0" fontId="0" fillId="33" borderId="37" xfId="0" applyFill="1" applyBorder="1" applyAlignment="1">
      <alignment horizontal="center"/>
    </xf>
    <xf numFmtId="1" fontId="0" fillId="34" borderId="23" xfId="0" applyNumberFormat="1" applyFill="1" applyBorder="1" applyAlignment="1">
      <alignment horizontal="center"/>
    </xf>
    <xf numFmtId="1" fontId="0" fillId="34" borderId="32" xfId="0" applyNumberFormat="1" applyFill="1" applyBorder="1" applyAlignment="1">
      <alignment horizontal="center"/>
    </xf>
    <xf numFmtId="1" fontId="0" fillId="34" borderId="36" xfId="0" applyNumberFormat="1" applyFill="1" applyBorder="1" applyAlignment="1">
      <alignment horizontal="center"/>
    </xf>
    <xf numFmtId="1" fontId="0" fillId="34" borderId="33" xfId="0" applyNumberFormat="1" applyFill="1" applyBorder="1" applyAlignment="1">
      <alignment horizontal="center"/>
    </xf>
    <xf numFmtId="1" fontId="0" fillId="34" borderId="24" xfId="0" applyNumberFormat="1" applyFill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33" borderId="27" xfId="0" applyNumberFormat="1" applyFill="1" applyBorder="1" applyAlignment="1">
      <alignment horizontal="center"/>
    </xf>
    <xf numFmtId="1" fontId="0" fillId="33" borderId="16" xfId="0" applyNumberFormat="1" applyFill="1" applyBorder="1" applyAlignment="1">
      <alignment horizontal="center"/>
    </xf>
    <xf numFmtId="1" fontId="0" fillId="33" borderId="21" xfId="0" applyNumberFormat="1" applyFill="1" applyBorder="1" applyAlignment="1">
      <alignment horizontal="center"/>
    </xf>
    <xf numFmtId="1" fontId="0" fillId="33" borderId="18" xfId="0" applyNumberFormat="1" applyFill="1" applyBorder="1" applyAlignment="1">
      <alignment horizontal="center"/>
    </xf>
    <xf numFmtId="1" fontId="0" fillId="33" borderId="28" xfId="0" applyNumberFormat="1" applyFill="1" applyBorder="1" applyAlignment="1">
      <alignment horizontal="center"/>
    </xf>
    <xf numFmtId="1" fontId="0" fillId="33" borderId="25" xfId="0" applyNumberFormat="1" applyFill="1" applyBorder="1" applyAlignment="1">
      <alignment horizontal="center"/>
    </xf>
    <xf numFmtId="1" fontId="0" fillId="33" borderId="14" xfId="0" applyNumberFormat="1" applyFill="1" applyBorder="1" applyAlignment="1">
      <alignment horizontal="center"/>
    </xf>
    <xf numFmtId="1" fontId="0" fillId="33" borderId="20" xfId="0" applyNumberFormat="1" applyFill="1" applyBorder="1" applyAlignment="1">
      <alignment horizontal="center"/>
    </xf>
    <xf numFmtId="1" fontId="0" fillId="33" borderId="15" xfId="0" applyNumberFormat="1" applyFill="1" applyBorder="1" applyAlignment="1">
      <alignment horizontal="center"/>
    </xf>
    <xf numFmtId="1" fontId="0" fillId="33" borderId="26" xfId="0" applyNumberFormat="1" applyFill="1" applyBorder="1" applyAlignment="1">
      <alignment horizontal="center"/>
    </xf>
    <xf numFmtId="1" fontId="0" fillId="33" borderId="29" xfId="0" applyNumberFormat="1" applyFill="1" applyBorder="1" applyAlignment="1">
      <alignment horizontal="center"/>
    </xf>
    <xf numFmtId="1" fontId="0" fillId="33" borderId="34" xfId="0" applyNumberFormat="1" applyFill="1" applyBorder="1" applyAlignment="1">
      <alignment horizontal="center"/>
    </xf>
    <xf numFmtId="1" fontId="0" fillId="33" borderId="37" xfId="0" applyNumberFormat="1" applyFill="1" applyBorder="1" applyAlignment="1">
      <alignment horizontal="center"/>
    </xf>
    <xf numFmtId="1" fontId="0" fillId="33" borderId="35" xfId="0" applyNumberFormat="1" applyFill="1" applyBorder="1" applyAlignment="1">
      <alignment horizontal="center"/>
    </xf>
    <xf numFmtId="1" fontId="0" fillId="33" borderId="31" xfId="0" applyNumberForma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34" borderId="44" xfId="0" applyNumberFormat="1" applyFill="1" applyBorder="1" applyAlignment="1">
      <alignment horizontal="center"/>
    </xf>
    <xf numFmtId="1" fontId="0" fillId="34" borderId="45" xfId="0" applyNumberFormat="1" applyFill="1" applyBorder="1" applyAlignment="1">
      <alignment horizontal="center"/>
    </xf>
    <xf numFmtId="1" fontId="0" fillId="34" borderId="46" xfId="0" applyNumberFormat="1" applyFill="1" applyBorder="1" applyAlignment="1">
      <alignment horizontal="center"/>
    </xf>
    <xf numFmtId="1" fontId="0" fillId="35" borderId="47" xfId="0" applyNumberFormat="1" applyFill="1" applyBorder="1" applyAlignment="1">
      <alignment horizontal="center"/>
    </xf>
    <xf numFmtId="1" fontId="0" fillId="35" borderId="48" xfId="0" applyNumberFormat="1" applyFill="1" applyBorder="1" applyAlignment="1">
      <alignment horizontal="center"/>
    </xf>
    <xf numFmtId="1" fontId="0" fillId="35" borderId="40" xfId="0" applyNumberFormat="1" applyFill="1" applyBorder="1" applyAlignment="1">
      <alignment horizontal="center"/>
    </xf>
    <xf numFmtId="1" fontId="0" fillId="35" borderId="14" xfId="0" applyNumberFormat="1" applyFill="1" applyBorder="1" applyAlignment="1">
      <alignment horizontal="center"/>
    </xf>
    <xf numFmtId="1" fontId="0" fillId="35" borderId="20" xfId="0" applyNumberFormat="1" applyFill="1" applyBorder="1" applyAlignment="1">
      <alignment horizontal="center"/>
    </xf>
    <xf numFmtId="1" fontId="0" fillId="35" borderId="26" xfId="0" applyNumberFormat="1" applyFill="1" applyBorder="1" applyAlignment="1">
      <alignment horizontal="center"/>
    </xf>
    <xf numFmtId="1" fontId="0" fillId="35" borderId="40" xfId="0" applyNumberFormat="1" applyFill="1" applyBorder="1" applyAlignment="1">
      <alignment horizontal="center" vertical="center"/>
    </xf>
    <xf numFmtId="1" fontId="0" fillId="35" borderId="14" xfId="0" applyNumberFormat="1" applyFill="1" applyBorder="1" applyAlignment="1">
      <alignment horizontal="center" vertical="center"/>
    </xf>
    <xf numFmtId="1" fontId="0" fillId="35" borderId="20" xfId="0" applyNumberFormat="1" applyFill="1" applyBorder="1" applyAlignment="1">
      <alignment horizontal="center" vertical="center"/>
    </xf>
    <xf numFmtId="1" fontId="0" fillId="35" borderId="26" xfId="0" applyNumberFormat="1" applyFill="1" applyBorder="1" applyAlignment="1">
      <alignment horizontal="center" vertical="center"/>
    </xf>
    <xf numFmtId="1" fontId="0" fillId="35" borderId="41" xfId="0" applyNumberFormat="1" applyFill="1" applyBorder="1" applyAlignment="1">
      <alignment horizontal="center" vertical="center"/>
    </xf>
    <xf numFmtId="1" fontId="0" fillId="35" borderId="34" xfId="0" applyNumberFormat="1" applyFill="1" applyBorder="1" applyAlignment="1">
      <alignment horizontal="center" vertical="center"/>
    </xf>
    <xf numFmtId="1" fontId="0" fillId="35" borderId="37" xfId="0" applyNumberFormat="1" applyFill="1" applyBorder="1" applyAlignment="1">
      <alignment horizontal="center" vertical="center"/>
    </xf>
    <xf numFmtId="1" fontId="0" fillId="35" borderId="31" xfId="0" applyNumberFormat="1" applyFill="1" applyBorder="1" applyAlignment="1">
      <alignment horizontal="center" vertical="center"/>
    </xf>
    <xf numFmtId="1" fontId="0" fillId="35" borderId="19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36" borderId="30" xfId="0" applyNumberFormat="1" applyFill="1" applyBorder="1" applyAlignment="1">
      <alignment horizontal="center" vertical="center"/>
    </xf>
    <xf numFmtId="1" fontId="0" fillId="36" borderId="34" xfId="0" applyNumberFormat="1" applyFill="1" applyBorder="1" applyAlignment="1">
      <alignment horizontal="center" vertical="center"/>
    </xf>
    <xf numFmtId="1" fontId="0" fillId="36" borderId="29" xfId="0" applyNumberFormat="1" applyFill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36" borderId="0" xfId="0" applyNumberFormat="1" applyFill="1" applyAlignment="1">
      <alignment horizontal="center" vertical="center"/>
    </xf>
    <xf numFmtId="1" fontId="0" fillId="36" borderId="14" xfId="0" applyNumberFormat="1" applyFill="1" applyBorder="1" applyAlignment="1">
      <alignment horizontal="center" vertical="center"/>
    </xf>
    <xf numFmtId="1" fontId="0" fillId="36" borderId="25" xfId="0" applyNumberFormat="1" applyFill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36" borderId="12" xfId="0" applyNumberFormat="1" applyFill="1" applyBorder="1" applyAlignment="1">
      <alignment horizontal="center" vertical="center"/>
    </xf>
    <xf numFmtId="1" fontId="0" fillId="36" borderId="11" xfId="0" applyNumberFormat="1" applyFill="1" applyBorder="1" applyAlignment="1">
      <alignment horizontal="center" vertical="center"/>
    </xf>
    <xf numFmtId="1" fontId="0" fillId="0" borderId="51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1" fontId="0" fillId="0" borderId="52" xfId="0" applyNumberFormat="1" applyBorder="1" applyAlignment="1">
      <alignment horizontal="center" vertical="center"/>
    </xf>
    <xf numFmtId="1" fontId="18" fillId="0" borderId="53" xfId="0" applyNumberFormat="1" applyFont="1" applyBorder="1" applyAlignment="1">
      <alignment horizontal="center" vertical="center" wrapText="1"/>
    </xf>
    <xf numFmtId="1" fontId="18" fillId="0" borderId="52" xfId="0" applyNumberFormat="1" applyFont="1" applyBorder="1" applyAlignment="1">
      <alignment horizontal="center" vertical="center" wrapText="1"/>
    </xf>
    <xf numFmtId="0" fontId="18" fillId="0" borderId="54" xfId="0" applyFont="1" applyBorder="1" applyAlignment="1">
      <alignment horizontal="center" vertical="center" wrapText="1"/>
    </xf>
    <xf numFmtId="0" fontId="18" fillId="0" borderId="53" xfId="0" applyFont="1" applyBorder="1" applyAlignment="1">
      <alignment horizontal="center" vertical="center" wrapText="1"/>
    </xf>
    <xf numFmtId="0" fontId="18" fillId="0" borderId="55" xfId="0" applyFont="1" applyBorder="1" applyAlignment="1">
      <alignment horizontal="center" vertical="center" wrapText="1"/>
    </xf>
    <xf numFmtId="1" fontId="0" fillId="0" borderId="47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48" xfId="0" applyNumberFormat="1" applyFill="1" applyBorder="1" applyAlignment="1">
      <alignment horizontal="center"/>
    </xf>
    <xf numFmtId="1" fontId="0" fillId="0" borderId="40" xfId="0" applyNumberFormat="1" applyFill="1" applyBorder="1" applyAlignment="1">
      <alignment horizontal="center"/>
    </xf>
    <xf numFmtId="1" fontId="0" fillId="0" borderId="14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" fontId="0" fillId="0" borderId="26" xfId="0" applyNumberFormat="1" applyFill="1" applyBorder="1" applyAlignment="1">
      <alignment horizontal="center"/>
    </xf>
    <xf numFmtId="1" fontId="0" fillId="0" borderId="40" xfId="0" applyNumberFormat="1" applyFill="1" applyBorder="1" applyAlignment="1">
      <alignment horizontal="center" vertical="center"/>
    </xf>
    <xf numFmtId="1" fontId="0" fillId="0" borderId="14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1" fontId="0" fillId="0" borderId="37" xfId="0" applyNumberFormat="1" applyFill="1" applyBorder="1" applyAlignment="1">
      <alignment horizontal="center" vertical="center"/>
    </xf>
    <xf numFmtId="1" fontId="0" fillId="0" borderId="31" xfId="0" applyNumberFormat="1" applyFill="1" applyBorder="1" applyAlignment="1">
      <alignment horizontal="center" vertical="center"/>
    </xf>
    <xf numFmtId="0" fontId="0" fillId="33" borderId="22" xfId="0" applyFill="1" applyBorder="1"/>
    <xf numFmtId="0" fontId="0" fillId="0" borderId="56" xfId="0" applyBorder="1"/>
    <xf numFmtId="1" fontId="0" fillId="36" borderId="0" xfId="0" applyNumberForma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48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36" borderId="26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" fontId="0" fillId="0" borderId="26" xfId="0" applyNumberFormat="1" applyBorder="1" applyAlignment="1">
      <alignment horizontal="center" vertical="center"/>
    </xf>
    <xf numFmtId="1" fontId="0" fillId="36" borderId="31" xfId="0" applyNumberFormat="1" applyFill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8" fillId="37" borderId="55" xfId="0" applyFont="1" applyFill="1" applyBorder="1" applyAlignment="1">
      <alignment horizontal="center" vertical="center" wrapText="1"/>
    </xf>
    <xf numFmtId="0" fontId="18" fillId="37" borderId="53" xfId="0" applyFont="1" applyFill="1" applyBorder="1" applyAlignment="1">
      <alignment horizontal="center" vertical="center" wrapText="1"/>
    </xf>
    <xf numFmtId="1" fontId="0" fillId="0" borderId="4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" fontId="0" fillId="38" borderId="17" xfId="0" applyNumberFormat="1" applyFill="1" applyBorder="1" applyAlignment="1">
      <alignment horizontal="center" vertical="center"/>
    </xf>
    <xf numFmtId="1" fontId="0" fillId="39" borderId="25" xfId="0" applyNumberFormat="1" applyFill="1" applyBorder="1" applyAlignment="1">
      <alignment horizontal="center" vertical="center"/>
    </xf>
    <xf numFmtId="1" fontId="0" fillId="39" borderId="29" xfId="0" applyNumberFormat="1" applyFill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38" borderId="21" xfId="0" applyNumberFormat="1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0" fontId="18" fillId="37" borderId="24" xfId="0" applyFont="1" applyFill="1" applyBorder="1" applyAlignment="1">
      <alignment horizontal="center" vertical="center" wrapText="1"/>
    </xf>
    <xf numFmtId="1" fontId="0" fillId="0" borderId="60" xfId="0" applyNumberFormat="1" applyBorder="1" applyAlignment="1">
      <alignment horizontal="center" vertical="center"/>
    </xf>
    <xf numFmtId="1" fontId="0" fillId="38" borderId="38" xfId="0" applyNumberFormat="1" applyFill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" fontId="0" fillId="0" borderId="61" xfId="0" applyNumberFormat="1" applyBorder="1" applyAlignment="1">
      <alignment horizontal="center" vertical="center"/>
    </xf>
    <xf numFmtId="0" fontId="0" fillId="37" borderId="62" xfId="0" applyFill="1" applyBorder="1" applyAlignment="1">
      <alignment horizontal="center" vertical="center"/>
    </xf>
    <xf numFmtId="0" fontId="0" fillId="37" borderId="63" xfId="0" applyFill="1" applyBorder="1" applyAlignment="1">
      <alignment horizontal="center" vertical="center"/>
    </xf>
    <xf numFmtId="0" fontId="0" fillId="37" borderId="64" xfId="0" applyFill="1" applyBorder="1" applyAlignment="1">
      <alignment horizontal="center" vertical="center"/>
    </xf>
    <xf numFmtId="1" fontId="0" fillId="38" borderId="0" xfId="0" applyNumberFormat="1" applyFill="1" applyBorder="1" applyAlignment="1">
      <alignment horizontal="center" vertical="center"/>
    </xf>
    <xf numFmtId="1" fontId="0" fillId="38" borderId="20" xfId="0" applyNumberFormat="1" applyFill="1" applyBorder="1" applyAlignment="1">
      <alignment horizontal="center" vertical="center"/>
    </xf>
    <xf numFmtId="1" fontId="0" fillId="38" borderId="39" xfId="0" applyNumberFormat="1" applyFill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1" fontId="0" fillId="0" borderId="58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 vertical="center"/>
    </xf>
    <xf numFmtId="1" fontId="0" fillId="0" borderId="65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" fontId="0" fillId="0" borderId="66" xfId="0" applyNumberFormat="1" applyBorder="1" applyAlignment="1">
      <alignment horizontal="center" vertical="center"/>
    </xf>
    <xf numFmtId="1" fontId="0" fillId="36" borderId="57" xfId="0" applyNumberFormat="1" applyFill="1" applyBorder="1" applyAlignment="1">
      <alignment horizontal="center" vertical="center"/>
    </xf>
    <xf numFmtId="1" fontId="0" fillId="36" borderId="65" xfId="0" applyNumberForma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9</xdr:col>
      <xdr:colOff>383206</xdr:colOff>
      <xdr:row>50</xdr:row>
      <xdr:rowOff>121787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BF8D8-2A81-3F42-A089-9979B4D94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7812706" cy="10078587"/>
        </a:xfrm>
        <a:prstGeom prst="rect">
          <a:avLst/>
        </a:prstGeom>
      </xdr:spPr>
    </xdr:pic>
    <xdr:clientData/>
  </xdr:twoCellAnchor>
  <xdr:twoCellAnchor editAs="oneCell">
    <xdr:from>
      <xdr:col>1</xdr:col>
      <xdr:colOff>56754</xdr:colOff>
      <xdr:row>30</xdr:row>
      <xdr:rowOff>158612</xdr:rowOff>
    </xdr:from>
    <xdr:to>
      <xdr:col>8</xdr:col>
      <xdr:colOff>577623</xdr:colOff>
      <xdr:row>45</xdr:row>
      <xdr:rowOff>43550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DB1C335-AFB5-3545-B3F1-866AD2E9B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2254" y="6254612"/>
          <a:ext cx="6299369" cy="2932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7"/>
  <sheetViews>
    <sheetView tabSelected="1" workbookViewId="0">
      <selection activeCell="D5" sqref="D5"/>
    </sheetView>
  </sheetViews>
  <sheetFormatPr baseColWidth="10" defaultRowHeight="16" x14ac:dyDescent="0.2"/>
  <sheetData>
    <row r="1" spans="2:6" ht="17" thickBot="1" x14ac:dyDescent="0.25"/>
    <row r="2" spans="2:6" ht="17" thickBot="1" x14ac:dyDescent="0.25">
      <c r="B2" s="140" t="s">
        <v>15</v>
      </c>
      <c r="C2" s="141"/>
      <c r="D2" s="141"/>
      <c r="E2" s="141"/>
      <c r="F2" s="142"/>
    </row>
    <row r="3" spans="2:6" x14ac:dyDescent="0.2">
      <c r="B3" s="136"/>
      <c r="C3" s="111" t="s">
        <v>12</v>
      </c>
      <c r="D3" s="133" t="s">
        <v>11</v>
      </c>
      <c r="E3" s="111" t="s">
        <v>10</v>
      </c>
      <c r="F3" s="136" t="s">
        <v>9</v>
      </c>
    </row>
    <row r="4" spans="2:6" x14ac:dyDescent="0.2">
      <c r="B4" s="138" t="s">
        <v>18</v>
      </c>
      <c r="C4" s="143">
        <v>451</v>
      </c>
      <c r="D4" s="144">
        <v>774</v>
      </c>
      <c r="E4" s="143">
        <v>795</v>
      </c>
      <c r="F4" s="145">
        <v>2020</v>
      </c>
    </row>
    <row r="5" spans="2:6" x14ac:dyDescent="0.2">
      <c r="B5" s="154">
        <v>8</v>
      </c>
      <c r="C5" s="152">
        <v>74.991351569364355</v>
      </c>
      <c r="D5" s="146">
        <v>132.16980441054059</v>
      </c>
      <c r="E5" s="148">
        <v>126.33884402009505</v>
      </c>
      <c r="F5" s="150">
        <v>333.25</v>
      </c>
    </row>
    <row r="6" spans="2:6" x14ac:dyDescent="0.2">
      <c r="B6" s="154">
        <v>9</v>
      </c>
      <c r="C6" s="152">
        <v>271.65982191721213</v>
      </c>
      <c r="D6" s="146">
        <v>478.21612497659646</v>
      </c>
      <c r="E6" s="148">
        <v>457.12405310619141</v>
      </c>
      <c r="F6" s="150">
        <v>1206.75</v>
      </c>
    </row>
    <row r="7" spans="2:6" x14ac:dyDescent="0.2">
      <c r="B7" s="154">
        <v>10</v>
      </c>
      <c r="C7" s="152">
        <v>416.5</v>
      </c>
      <c r="D7" s="146">
        <v>688</v>
      </c>
      <c r="E7" s="148">
        <v>566.25</v>
      </c>
      <c r="F7" s="150">
        <v>1670.75</v>
      </c>
    </row>
    <row r="8" spans="2:6" x14ac:dyDescent="0.2">
      <c r="B8" s="154">
        <v>11</v>
      </c>
      <c r="C8" s="152">
        <v>407.75</v>
      </c>
      <c r="D8" s="146">
        <v>733.75</v>
      </c>
      <c r="E8" s="148">
        <v>728.5</v>
      </c>
      <c r="F8" s="150">
        <v>1870</v>
      </c>
    </row>
    <row r="9" spans="2:6" x14ac:dyDescent="0.2">
      <c r="B9" s="154">
        <v>12</v>
      </c>
      <c r="C9" s="152">
        <v>415</v>
      </c>
      <c r="D9" s="146">
        <v>738.75</v>
      </c>
      <c r="E9" s="148">
        <v>744.5</v>
      </c>
      <c r="F9" s="150">
        <v>1898.25</v>
      </c>
    </row>
    <row r="10" spans="2:6" x14ac:dyDescent="0.2">
      <c r="B10" s="154">
        <v>13</v>
      </c>
      <c r="C10" s="152">
        <v>396.75</v>
      </c>
      <c r="D10" s="146">
        <v>693.75</v>
      </c>
      <c r="E10" s="148">
        <v>702.25</v>
      </c>
      <c r="F10" s="150">
        <v>1792.75</v>
      </c>
    </row>
    <row r="11" spans="2:6" x14ac:dyDescent="0.2">
      <c r="B11" s="154">
        <v>14</v>
      </c>
      <c r="C11" s="152">
        <v>362.25</v>
      </c>
      <c r="D11" s="146">
        <v>672.25</v>
      </c>
      <c r="E11" s="148">
        <v>667.25</v>
      </c>
      <c r="F11" s="150">
        <v>1701.75</v>
      </c>
    </row>
    <row r="12" spans="2:6" x14ac:dyDescent="0.2">
      <c r="B12" s="154">
        <v>15</v>
      </c>
      <c r="C12" s="152">
        <v>369.5</v>
      </c>
      <c r="D12" s="146">
        <v>614.25</v>
      </c>
      <c r="E12" s="148">
        <v>606.25</v>
      </c>
      <c r="F12" s="150">
        <v>1590</v>
      </c>
    </row>
    <row r="13" spans="2:6" x14ac:dyDescent="0.2">
      <c r="B13" s="154">
        <v>16</v>
      </c>
      <c r="C13" s="152">
        <v>316.89554985235588</v>
      </c>
      <c r="D13" s="146">
        <v>557.48902344722501</v>
      </c>
      <c r="E13" s="148">
        <v>532.61542670041911</v>
      </c>
      <c r="F13" s="150">
        <v>1407</v>
      </c>
    </row>
    <row r="14" spans="2:6" x14ac:dyDescent="0.2">
      <c r="B14" s="154">
        <v>17</v>
      </c>
      <c r="C14" s="152">
        <v>294.70009407013345</v>
      </c>
      <c r="D14" s="146">
        <v>518.603999448737</v>
      </c>
      <c r="E14" s="148">
        <v>495.1959064811295</v>
      </c>
      <c r="F14" s="150">
        <v>1308.25</v>
      </c>
    </row>
    <row r="15" spans="2:6" x14ac:dyDescent="0.2">
      <c r="B15" s="154">
        <v>18</v>
      </c>
      <c r="C15" s="152">
        <v>223.60666996993604</v>
      </c>
      <c r="D15" s="146">
        <v>393.66155752089117</v>
      </c>
      <c r="E15" s="148">
        <v>375.73177250917269</v>
      </c>
      <c r="F15" s="150">
        <v>992.5</v>
      </c>
    </row>
    <row r="16" spans="2:6" x14ac:dyDescent="0.2">
      <c r="B16" s="154">
        <v>19</v>
      </c>
      <c r="C16" s="152">
        <v>170</v>
      </c>
      <c r="D16" s="146">
        <v>324.25</v>
      </c>
      <c r="E16" s="148">
        <v>253.5</v>
      </c>
      <c r="F16" s="150">
        <v>747.75</v>
      </c>
    </row>
    <row r="17" spans="2:6" ht="17" thickBot="1" x14ac:dyDescent="0.25">
      <c r="B17" s="155">
        <v>20</v>
      </c>
      <c r="C17" s="153">
        <v>134.38987895045841</v>
      </c>
      <c r="D17" s="147">
        <v>236.61017003104368</v>
      </c>
      <c r="E17" s="149">
        <v>225.74995101849791</v>
      </c>
      <c r="F17" s="151">
        <v>596.25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6"/>
  <sheetViews>
    <sheetView topLeftCell="C12" zoomScale="106" workbookViewId="0">
      <selection activeCell="N25" sqref="N25"/>
    </sheetView>
  </sheetViews>
  <sheetFormatPr baseColWidth="10" defaultRowHeight="16" x14ac:dyDescent="0.2"/>
  <sheetData>
    <row r="1" spans="1:10" x14ac:dyDescent="0.2">
      <c r="A1" s="1" t="s">
        <v>0</v>
      </c>
      <c r="B1" s="11">
        <v>10</v>
      </c>
      <c r="C1" s="24">
        <v>11</v>
      </c>
      <c r="D1" s="12">
        <v>24</v>
      </c>
      <c r="E1" s="2">
        <v>25</v>
      </c>
      <c r="F1" s="26" t="s">
        <v>0</v>
      </c>
      <c r="G1" s="27">
        <v>10</v>
      </c>
      <c r="H1" s="28">
        <v>11</v>
      </c>
      <c r="I1" s="29">
        <v>24</v>
      </c>
      <c r="J1" s="30">
        <v>25</v>
      </c>
    </row>
    <row r="2" spans="1:10" x14ac:dyDescent="0.2">
      <c r="A2" s="3">
        <v>3.0000000000000001E-3</v>
      </c>
      <c r="B2" s="13">
        <v>522.48</v>
      </c>
      <c r="C2" s="21">
        <v>537.33000000000004</v>
      </c>
      <c r="D2" s="14">
        <v>461.58</v>
      </c>
      <c r="E2" s="4">
        <v>448.71</v>
      </c>
      <c r="F2" s="31">
        <v>3.0000000000000001E-3</v>
      </c>
      <c r="G2" s="32">
        <v>522.48</v>
      </c>
      <c r="H2" s="33">
        <v>537.33000000000004</v>
      </c>
      <c r="I2" s="34">
        <v>461.58</v>
      </c>
      <c r="J2" s="35">
        <v>448.71</v>
      </c>
    </row>
    <row r="3" spans="1:10" x14ac:dyDescent="0.2">
      <c r="A3" s="3">
        <v>1.7299999999999999E-2</v>
      </c>
      <c r="B3" s="13">
        <v>537.30999999999995</v>
      </c>
      <c r="C3" s="21">
        <v>553.54</v>
      </c>
      <c r="D3" s="14">
        <v>479.11</v>
      </c>
      <c r="E3" s="4">
        <v>465.57</v>
      </c>
      <c r="F3" s="31">
        <v>1.7299999999999999E-2</v>
      </c>
      <c r="G3" s="32">
        <v>537.30999999999995</v>
      </c>
      <c r="H3" s="33">
        <v>553.54</v>
      </c>
      <c r="I3" s="34">
        <v>479.11</v>
      </c>
      <c r="J3" s="35">
        <v>465.57</v>
      </c>
    </row>
    <row r="4" spans="1:10" x14ac:dyDescent="0.2">
      <c r="A4" s="3">
        <v>1.77E-2</v>
      </c>
      <c r="B4" s="13">
        <v>537.77</v>
      </c>
      <c r="C4" s="21">
        <v>554.03</v>
      </c>
      <c r="D4" s="14">
        <v>479.65</v>
      </c>
      <c r="E4" s="4">
        <v>466.08</v>
      </c>
      <c r="F4" s="31">
        <v>1.77E-2</v>
      </c>
      <c r="G4" s="32">
        <v>537.77</v>
      </c>
      <c r="H4" s="33">
        <v>554.03</v>
      </c>
      <c r="I4" s="34">
        <v>479.65</v>
      </c>
      <c r="J4" s="35">
        <v>466.08</v>
      </c>
    </row>
    <row r="5" spans="1:10" x14ac:dyDescent="0.2">
      <c r="A5" s="3">
        <v>2.2100000000000002E-2</v>
      </c>
      <c r="B5" s="13">
        <v>542.29999999999995</v>
      </c>
      <c r="C5" s="21">
        <v>558.99</v>
      </c>
      <c r="D5" s="14">
        <v>485</v>
      </c>
      <c r="E5" s="4">
        <v>471.23</v>
      </c>
      <c r="F5" s="31">
        <v>2.2100000000000002E-2</v>
      </c>
      <c r="G5" s="32">
        <v>542.29999999999995</v>
      </c>
      <c r="H5" s="33">
        <v>558.99</v>
      </c>
      <c r="I5" s="34">
        <v>485</v>
      </c>
      <c r="J5" s="35">
        <v>471.23</v>
      </c>
    </row>
    <row r="6" spans="1:10" x14ac:dyDescent="0.2">
      <c r="A6" s="5">
        <f>AVERAGE(A2:A5)</f>
        <v>1.5025E-2</v>
      </c>
      <c r="B6" s="15">
        <f t="shared" ref="B6:E6" si="0">AVERAGE(B2:B5)</f>
        <v>534.96499999999992</v>
      </c>
      <c r="C6" s="22">
        <f t="shared" si="0"/>
        <v>550.97249999999997</v>
      </c>
      <c r="D6" s="16">
        <f t="shared" si="0"/>
        <v>476.33500000000004</v>
      </c>
      <c r="E6" s="6">
        <f t="shared" si="0"/>
        <v>462.89749999999998</v>
      </c>
      <c r="F6" s="36">
        <f>AVERAGE(F2:F5)</f>
        <v>1.5025E-2</v>
      </c>
      <c r="G6" s="37">
        <f t="shared" ref="G6" si="1">AVERAGE(G2:G5)</f>
        <v>534.96499999999992</v>
      </c>
      <c r="H6" s="38">
        <f t="shared" ref="H6" si="2">AVERAGE(H2:H5)</f>
        <v>550.97249999999997</v>
      </c>
      <c r="I6" s="39">
        <f t="shared" ref="I6" si="3">AVERAGE(I2:I5)</f>
        <v>476.33500000000004</v>
      </c>
      <c r="J6" s="40">
        <f t="shared" ref="J6" si="4">AVERAGE(J2:J5)</f>
        <v>462.89749999999998</v>
      </c>
    </row>
    <row r="7" spans="1:10" x14ac:dyDescent="0.2">
      <c r="A7" s="3">
        <v>0.96489999999999998</v>
      </c>
      <c r="B7" s="13">
        <v>1403.36</v>
      </c>
      <c r="C7" s="21">
        <v>1421.82</v>
      </c>
      <c r="D7" s="14">
        <v>1445.82</v>
      </c>
      <c r="E7" s="4">
        <v>1389.24</v>
      </c>
      <c r="F7" s="31">
        <v>0.96489999999999998</v>
      </c>
      <c r="G7" s="32">
        <v>1403.36</v>
      </c>
      <c r="H7" s="33">
        <v>1421.82</v>
      </c>
      <c r="I7" s="34">
        <v>1445.82</v>
      </c>
      <c r="J7" s="35">
        <v>1389.24</v>
      </c>
    </row>
    <row r="8" spans="1:10" x14ac:dyDescent="0.2">
      <c r="A8" s="3">
        <v>0.96960000000000002</v>
      </c>
      <c r="B8" s="13">
        <v>1406.48</v>
      </c>
      <c r="C8" s="21">
        <v>1424.14</v>
      </c>
      <c r="D8" s="14">
        <v>1448.76</v>
      </c>
      <c r="E8" s="4">
        <v>1391.93</v>
      </c>
      <c r="F8" s="31">
        <v>0.96960000000000002</v>
      </c>
      <c r="G8" s="32">
        <v>1406.48</v>
      </c>
      <c r="H8" s="33">
        <v>1424.14</v>
      </c>
      <c r="I8" s="34">
        <v>1448.76</v>
      </c>
      <c r="J8" s="35">
        <v>1391.93</v>
      </c>
    </row>
    <row r="9" spans="1:10" x14ac:dyDescent="0.2">
      <c r="A9" s="3">
        <v>0.97430000000000005</v>
      </c>
      <c r="B9" s="13">
        <v>1409.54</v>
      </c>
      <c r="C9" s="21">
        <v>1426.41</v>
      </c>
      <c r="D9" s="14">
        <v>1451.64</v>
      </c>
      <c r="E9" s="4">
        <v>1394.57</v>
      </c>
      <c r="F9" s="31">
        <v>0.97430000000000005</v>
      </c>
      <c r="G9" s="32">
        <v>1409.54</v>
      </c>
      <c r="H9" s="33">
        <v>1426.41</v>
      </c>
      <c r="I9" s="34">
        <v>1451.64</v>
      </c>
      <c r="J9" s="35">
        <v>1394.57</v>
      </c>
    </row>
    <row r="10" spans="1:10" x14ac:dyDescent="0.2">
      <c r="A10" s="3">
        <v>0.99380000000000002</v>
      </c>
      <c r="B10" s="13">
        <v>1422.18</v>
      </c>
      <c r="C10" s="21">
        <v>1435.63</v>
      </c>
      <c r="D10" s="14">
        <v>1463.44</v>
      </c>
      <c r="E10" s="4">
        <v>1405.33</v>
      </c>
      <c r="F10" s="31">
        <v>0.99380000000000002</v>
      </c>
      <c r="G10" s="32">
        <v>1422.18</v>
      </c>
      <c r="H10" s="33">
        <v>1435.63</v>
      </c>
      <c r="I10" s="34">
        <v>1463.44</v>
      </c>
      <c r="J10" s="35">
        <v>1405.33</v>
      </c>
    </row>
    <row r="11" spans="1:10" x14ac:dyDescent="0.2">
      <c r="A11" s="7">
        <f>AVERAGE(A7:A10)</f>
        <v>0.97564999999999991</v>
      </c>
      <c r="B11" s="17">
        <f t="shared" ref="B11:E11" si="5">AVERAGE(B7:B10)</f>
        <v>1410.39</v>
      </c>
      <c r="C11" s="23">
        <f t="shared" si="5"/>
        <v>1427</v>
      </c>
      <c r="D11" s="18">
        <f t="shared" si="5"/>
        <v>1452.415</v>
      </c>
      <c r="E11" s="8">
        <f t="shared" si="5"/>
        <v>1395.2674999999999</v>
      </c>
      <c r="F11" s="41">
        <f>AVERAGE(F7:F10)</f>
        <v>0.97564999999999991</v>
      </c>
      <c r="G11" s="42">
        <f t="shared" ref="G11" si="6">AVERAGE(G7:G10)</f>
        <v>1410.39</v>
      </c>
      <c r="H11" s="43">
        <f t="shared" ref="H11" si="7">AVERAGE(H7:H10)</f>
        <v>1427</v>
      </c>
      <c r="I11" s="44">
        <f t="shared" ref="I11" si="8">AVERAGE(I7:I10)</f>
        <v>1452.415</v>
      </c>
      <c r="J11" s="45">
        <f t="shared" ref="J11" si="9">AVERAGE(J7:J10)</f>
        <v>1395.2674999999999</v>
      </c>
    </row>
    <row r="12" spans="1:10" x14ac:dyDescent="0.2">
      <c r="A12" s="3">
        <v>1.9854000000000001</v>
      </c>
      <c r="B12" s="13">
        <v>1803.12</v>
      </c>
      <c r="C12" s="21">
        <v>1651.54</v>
      </c>
      <c r="D12" s="14">
        <v>1784.02</v>
      </c>
      <c r="E12" s="4">
        <v>1655.48</v>
      </c>
      <c r="F12" s="31">
        <v>1.9854000000000001</v>
      </c>
      <c r="G12" s="32">
        <v>1803.12</v>
      </c>
      <c r="H12" s="33">
        <v>1651.54</v>
      </c>
      <c r="I12" s="34">
        <v>1784.02</v>
      </c>
      <c r="J12" s="35">
        <v>1655.48</v>
      </c>
    </row>
    <row r="13" spans="1:10" x14ac:dyDescent="0.2">
      <c r="A13" s="3">
        <v>1.9854000000000001</v>
      </c>
      <c r="B13" s="13">
        <v>1803.12</v>
      </c>
      <c r="C13" s="21">
        <v>1651.55</v>
      </c>
      <c r="D13" s="14">
        <v>1784.03</v>
      </c>
      <c r="E13" s="4">
        <v>1655.48</v>
      </c>
      <c r="F13" s="31">
        <v>1.9854000000000001</v>
      </c>
      <c r="G13" s="32">
        <v>1803.12</v>
      </c>
      <c r="H13" s="33">
        <v>1651.55</v>
      </c>
      <c r="I13" s="34">
        <v>1784.03</v>
      </c>
      <c r="J13" s="35">
        <v>1655.48</v>
      </c>
    </row>
    <row r="14" spans="1:10" x14ac:dyDescent="0.2">
      <c r="A14" s="3">
        <v>1.9863</v>
      </c>
      <c r="B14" s="13">
        <v>1803.36</v>
      </c>
      <c r="C14" s="21">
        <v>1651.79</v>
      </c>
      <c r="D14" s="14">
        <v>1784.27</v>
      </c>
      <c r="E14" s="4">
        <v>1655.67</v>
      </c>
      <c r="F14" s="31">
        <v>1.9863</v>
      </c>
      <c r="G14" s="32">
        <v>1803.36</v>
      </c>
      <c r="H14" s="33">
        <v>1651.79</v>
      </c>
      <c r="I14" s="34">
        <v>1784.27</v>
      </c>
      <c r="J14" s="35">
        <v>1655.67</v>
      </c>
    </row>
    <row r="15" spans="1:10" x14ac:dyDescent="0.2">
      <c r="A15" s="3">
        <v>1.9910000000000001</v>
      </c>
      <c r="B15" s="13">
        <v>1804.65</v>
      </c>
      <c r="C15" s="21">
        <v>1653.15</v>
      </c>
      <c r="D15" s="14">
        <v>1785.61</v>
      </c>
      <c r="E15" s="4">
        <v>1656.72</v>
      </c>
      <c r="F15" s="31">
        <v>1.9910000000000001</v>
      </c>
      <c r="G15" s="32">
        <v>1804.65</v>
      </c>
      <c r="H15" s="33">
        <v>1653.15</v>
      </c>
      <c r="I15" s="34">
        <v>1785.61</v>
      </c>
      <c r="J15" s="35">
        <v>1656.72</v>
      </c>
    </row>
    <row r="16" spans="1:10" x14ac:dyDescent="0.2">
      <c r="A16" s="7">
        <f>AVERAGE(A12:A15)</f>
        <v>1.987025</v>
      </c>
      <c r="B16" s="17">
        <f t="shared" ref="B16:E16" si="10">AVERAGE(B12:B15)</f>
        <v>1803.5625</v>
      </c>
      <c r="C16" s="23">
        <f t="shared" si="10"/>
        <v>1652.0075000000002</v>
      </c>
      <c r="D16" s="18">
        <f t="shared" si="10"/>
        <v>1784.4824999999998</v>
      </c>
      <c r="E16" s="8">
        <f t="shared" si="10"/>
        <v>1655.8375000000001</v>
      </c>
      <c r="F16" s="41">
        <f>AVERAGE(F12:F15)</f>
        <v>1.987025</v>
      </c>
      <c r="G16" s="42">
        <f t="shared" ref="G16" si="11">AVERAGE(G12:G15)</f>
        <v>1803.5625</v>
      </c>
      <c r="H16" s="43">
        <f t="shared" ref="H16" si="12">AVERAGE(H12:H15)</f>
        <v>1652.0075000000002</v>
      </c>
      <c r="I16" s="44">
        <f t="shared" ref="I16" si="13">AVERAGE(I12:I15)</f>
        <v>1784.4824999999998</v>
      </c>
      <c r="J16" s="45">
        <f t="shared" ref="J16" si="14">AVERAGE(J12:J15)</f>
        <v>1655.8375000000001</v>
      </c>
    </row>
    <row r="17" spans="1:16" x14ac:dyDescent="0.2">
      <c r="A17" s="3">
        <v>2.9870999999999999</v>
      </c>
      <c r="B17" s="13">
        <v>2032.15</v>
      </c>
      <c r="C17" s="21">
        <v>2054.2600000000002</v>
      </c>
      <c r="D17" s="14">
        <v>2105.58</v>
      </c>
      <c r="E17" s="4">
        <v>1947.94</v>
      </c>
      <c r="F17" s="31">
        <v>2.9870999999999999</v>
      </c>
      <c r="G17" s="32">
        <v>2032.15</v>
      </c>
      <c r="H17" s="33">
        <v>2054.2600000000002</v>
      </c>
      <c r="I17" s="34">
        <v>2105.58</v>
      </c>
      <c r="J17" s="35">
        <v>1947.94</v>
      </c>
    </row>
    <row r="18" spans="1:16" x14ac:dyDescent="0.2">
      <c r="A18" s="3">
        <v>2.9878</v>
      </c>
      <c r="B18" s="13">
        <v>2032.21</v>
      </c>
      <c r="C18" s="21">
        <v>2054.41</v>
      </c>
      <c r="D18" s="14">
        <v>2105.6999999999998</v>
      </c>
      <c r="E18" s="4">
        <v>1948.07</v>
      </c>
      <c r="F18" s="31">
        <v>2.9878</v>
      </c>
      <c r="G18" s="32">
        <v>2032.21</v>
      </c>
      <c r="H18" s="33">
        <v>2054.41</v>
      </c>
      <c r="I18" s="34">
        <v>2105.6999999999998</v>
      </c>
      <c r="J18" s="35">
        <v>1948.07</v>
      </c>
    </row>
    <row r="19" spans="1:16" x14ac:dyDescent="0.2">
      <c r="A19" s="3">
        <v>2.9925000000000002</v>
      </c>
      <c r="B19" s="13">
        <v>2032.72</v>
      </c>
      <c r="C19" s="21">
        <v>2055.56</v>
      </c>
      <c r="D19" s="14">
        <v>2106.63</v>
      </c>
      <c r="E19" s="4">
        <v>1949.06</v>
      </c>
      <c r="F19" s="31">
        <v>2.9925000000000002</v>
      </c>
      <c r="G19" s="32">
        <v>2032.72</v>
      </c>
      <c r="H19" s="33">
        <v>2055.56</v>
      </c>
      <c r="I19" s="34">
        <v>2106.63</v>
      </c>
      <c r="J19" s="35">
        <v>1949.06</v>
      </c>
    </row>
    <row r="20" spans="1:16" x14ac:dyDescent="0.2">
      <c r="A20" s="3">
        <v>2.9977</v>
      </c>
      <c r="B20" s="13">
        <v>2033.28</v>
      </c>
      <c r="C20" s="21">
        <v>2056.8200000000002</v>
      </c>
      <c r="D20" s="14">
        <v>2107.65</v>
      </c>
      <c r="E20" s="4">
        <v>1950.16</v>
      </c>
      <c r="F20" s="31">
        <v>2.9977</v>
      </c>
      <c r="G20" s="32">
        <v>2033.28</v>
      </c>
      <c r="H20" s="33">
        <v>2056.8200000000002</v>
      </c>
      <c r="I20" s="34">
        <v>2107.65</v>
      </c>
      <c r="J20" s="35">
        <v>1950.16</v>
      </c>
    </row>
    <row r="21" spans="1:16" x14ac:dyDescent="0.2">
      <c r="A21" s="7">
        <f>AVERAGE(A17:A20)</f>
        <v>2.9912749999999999</v>
      </c>
      <c r="B21" s="17">
        <f t="shared" ref="B21:E21" si="15">AVERAGE(B17:B20)</f>
        <v>2032.59</v>
      </c>
      <c r="C21" s="23">
        <f t="shared" si="15"/>
        <v>2055.2624999999998</v>
      </c>
      <c r="D21" s="18">
        <f t="shared" si="15"/>
        <v>2106.39</v>
      </c>
      <c r="E21" s="8">
        <f t="shared" si="15"/>
        <v>1948.8074999999999</v>
      </c>
      <c r="F21" s="41">
        <f>AVERAGE(F17:F20)</f>
        <v>2.9912749999999999</v>
      </c>
      <c r="G21" s="42">
        <f t="shared" ref="G21" si="16">AVERAGE(G17:G20)</f>
        <v>2032.59</v>
      </c>
      <c r="H21" s="43">
        <f t="shared" ref="H21" si="17">AVERAGE(H17:H20)</f>
        <v>2055.2624999999998</v>
      </c>
      <c r="I21" s="44">
        <f t="shared" ref="I21" si="18">AVERAGE(I17:I20)</f>
        <v>2106.39</v>
      </c>
      <c r="J21" s="45">
        <f t="shared" ref="J21" si="19">AVERAGE(J17:J20)</f>
        <v>1948.8074999999999</v>
      </c>
    </row>
    <row r="22" spans="1:16" x14ac:dyDescent="0.2">
      <c r="A22" s="3">
        <v>3.9973999999999998</v>
      </c>
      <c r="B22" s="13">
        <v>2068.04</v>
      </c>
      <c r="C22" s="21">
        <v>2078.73</v>
      </c>
      <c r="D22" s="14">
        <v>2161.4899999999998</v>
      </c>
      <c r="E22" s="4">
        <v>2043.24</v>
      </c>
      <c r="F22" s="31">
        <v>3.9973999999999998</v>
      </c>
      <c r="G22" s="32">
        <v>2068.04</v>
      </c>
      <c r="H22" s="33">
        <v>2078.73</v>
      </c>
      <c r="I22" s="34">
        <v>2161.4899999999998</v>
      </c>
      <c r="J22" s="35">
        <v>2043.24</v>
      </c>
    </row>
    <row r="23" spans="1:16" ht="17" thickBot="1" x14ac:dyDescent="0.25">
      <c r="A23" s="3">
        <v>3.9980000000000002</v>
      </c>
      <c r="B23" s="13">
        <v>2068.1</v>
      </c>
      <c r="C23" s="21">
        <v>2078.73</v>
      </c>
      <c r="D23" s="14">
        <v>2161.54</v>
      </c>
      <c r="E23" s="4">
        <v>2043.3</v>
      </c>
      <c r="F23" s="31">
        <v>3.9980000000000002</v>
      </c>
      <c r="G23" s="32">
        <v>2068.1</v>
      </c>
      <c r="H23" s="33">
        <v>2078.73</v>
      </c>
      <c r="I23" s="34">
        <v>2161.54</v>
      </c>
      <c r="J23" s="35">
        <v>2043.3</v>
      </c>
    </row>
    <row r="24" spans="1:16" x14ac:dyDescent="0.2">
      <c r="A24" s="3">
        <v>4.0023999999999997</v>
      </c>
      <c r="B24" s="13">
        <v>2068.4699999999998</v>
      </c>
      <c r="C24" s="21">
        <v>2078.73</v>
      </c>
      <c r="D24" s="14">
        <v>2161.84</v>
      </c>
      <c r="E24" s="4">
        <v>2043.69</v>
      </c>
      <c r="F24" s="31">
        <v>4.0023999999999997</v>
      </c>
      <c r="G24" s="32">
        <v>2068.4699999999998</v>
      </c>
      <c r="H24" s="33">
        <v>2078.73</v>
      </c>
      <c r="I24" s="34">
        <v>2161.84</v>
      </c>
      <c r="J24" s="35">
        <v>2043.69</v>
      </c>
      <c r="L24" s="52" t="s">
        <v>0</v>
      </c>
      <c r="M24" s="53">
        <v>10</v>
      </c>
      <c r="N24" s="28">
        <v>11</v>
      </c>
      <c r="O24" s="28">
        <v>24</v>
      </c>
      <c r="P24" s="54">
        <v>25</v>
      </c>
    </row>
    <row r="25" spans="1:16" x14ac:dyDescent="0.2">
      <c r="A25" s="3">
        <v>4.0072000000000001</v>
      </c>
      <c r="B25" s="13">
        <v>2068.88</v>
      </c>
      <c r="C25" s="21">
        <v>2078.75</v>
      </c>
      <c r="D25" s="14">
        <v>2162.17</v>
      </c>
      <c r="E25" s="4">
        <v>2044.13</v>
      </c>
      <c r="F25" s="31">
        <v>4.0072000000000001</v>
      </c>
      <c r="G25" s="32">
        <v>2068.88</v>
      </c>
      <c r="H25" s="33">
        <v>2078.75</v>
      </c>
      <c r="I25" s="34">
        <v>2162.17</v>
      </c>
      <c r="J25" s="35">
        <v>2044.13</v>
      </c>
      <c r="L25" s="55">
        <f>F6+8</f>
        <v>8.0150249999999996</v>
      </c>
      <c r="M25" s="69">
        <f>G6</f>
        <v>534.96499999999992</v>
      </c>
      <c r="N25" s="69">
        <f>H6</f>
        <v>550.97249999999997</v>
      </c>
      <c r="O25" s="69">
        <f>I6</f>
        <v>476.33500000000004</v>
      </c>
      <c r="P25" s="56">
        <f>J6</f>
        <v>462.89749999999998</v>
      </c>
    </row>
    <row r="26" spans="1:16" x14ac:dyDescent="0.2">
      <c r="A26" s="7">
        <f>AVERAGE(A22:A25)</f>
        <v>4.0012499999999998</v>
      </c>
      <c r="B26" s="17">
        <f t="shared" ref="B26:E26" si="20">AVERAGE(B22:B25)</f>
        <v>2068.3724999999995</v>
      </c>
      <c r="C26" s="23">
        <f t="shared" si="20"/>
        <v>2078.7350000000001</v>
      </c>
      <c r="D26" s="18">
        <f t="shared" si="20"/>
        <v>2161.7600000000002</v>
      </c>
      <c r="E26" s="8">
        <f t="shared" si="20"/>
        <v>2043.59</v>
      </c>
      <c r="F26" s="41">
        <f>AVERAGE(F22:F25)</f>
        <v>4.0012499999999998</v>
      </c>
      <c r="G26" s="42">
        <f t="shared" ref="G26" si="21">AVERAGE(G22:G25)</f>
        <v>2068.3724999999995</v>
      </c>
      <c r="H26" s="43">
        <f t="shared" ref="H26" si="22">AVERAGE(H22:H25)</f>
        <v>2078.7350000000001</v>
      </c>
      <c r="I26" s="44">
        <f t="shared" ref="I26" si="23">AVERAGE(I22:I25)</f>
        <v>2161.7600000000002</v>
      </c>
      <c r="J26" s="45">
        <f t="shared" ref="J26" si="24">AVERAGE(J22:J25)</f>
        <v>2043.59</v>
      </c>
      <c r="L26" s="57">
        <f>F11+8</f>
        <v>8.9756499999999999</v>
      </c>
      <c r="M26" s="58">
        <f>G11</f>
        <v>1410.39</v>
      </c>
      <c r="N26" s="59">
        <f>H11</f>
        <v>1427</v>
      </c>
      <c r="O26" s="59">
        <f>I11</f>
        <v>1452.415</v>
      </c>
      <c r="P26" s="60">
        <f>J11</f>
        <v>1395.2674999999999</v>
      </c>
    </row>
    <row r="27" spans="1:16" x14ac:dyDescent="0.2">
      <c r="A27" s="3">
        <v>5.0025000000000004</v>
      </c>
      <c r="B27" s="13">
        <v>2134.63</v>
      </c>
      <c r="C27" s="21">
        <v>2103.0500000000002</v>
      </c>
      <c r="D27" s="14">
        <v>2248.98</v>
      </c>
      <c r="E27" s="4">
        <v>2124.7399999999998</v>
      </c>
      <c r="F27" s="31">
        <v>5.0025000000000004</v>
      </c>
      <c r="G27" s="32">
        <v>2134.63</v>
      </c>
      <c r="H27" s="33">
        <v>2103.0500000000002</v>
      </c>
      <c r="I27" s="34">
        <v>2248.98</v>
      </c>
      <c r="J27" s="35">
        <v>2124.7399999999998</v>
      </c>
      <c r="L27" s="57">
        <f>F16+8</f>
        <v>9.9870249999999992</v>
      </c>
      <c r="M27" s="58">
        <f>G16</f>
        <v>1803.5625</v>
      </c>
      <c r="N27" s="59">
        <f>H16</f>
        <v>1652.0075000000002</v>
      </c>
      <c r="O27" s="59">
        <f>I16</f>
        <v>1784.4824999999998</v>
      </c>
      <c r="P27" s="60">
        <f>J16</f>
        <v>1655.8375000000001</v>
      </c>
    </row>
    <row r="28" spans="1:16" x14ac:dyDescent="0.2">
      <c r="A28" s="3">
        <v>5.0026999999999999</v>
      </c>
      <c r="B28" s="13">
        <v>2134.61</v>
      </c>
      <c r="C28" s="21">
        <v>2103.04</v>
      </c>
      <c r="D28" s="14">
        <v>2248.98</v>
      </c>
      <c r="E28" s="4">
        <v>2124.7399999999998</v>
      </c>
      <c r="F28" s="31">
        <v>5.0026999999999999</v>
      </c>
      <c r="G28" s="32">
        <v>2134.61</v>
      </c>
      <c r="H28" s="33">
        <v>2103.04</v>
      </c>
      <c r="I28" s="34">
        <v>2248.98</v>
      </c>
      <c r="J28" s="35">
        <v>2124.7399999999998</v>
      </c>
      <c r="L28" s="61">
        <f>F21+8</f>
        <v>10.991275</v>
      </c>
      <c r="M28" s="62">
        <f>G21</f>
        <v>2032.59</v>
      </c>
      <c r="N28" s="63">
        <f>H21</f>
        <v>2055.2624999999998</v>
      </c>
      <c r="O28" s="63">
        <f>I21</f>
        <v>2106.39</v>
      </c>
      <c r="P28" s="64">
        <f>J21</f>
        <v>1948.8074999999999</v>
      </c>
    </row>
    <row r="29" spans="1:16" x14ac:dyDescent="0.2">
      <c r="A29" s="3">
        <v>5.0026999999999999</v>
      </c>
      <c r="B29" s="13">
        <v>2134.6</v>
      </c>
      <c r="C29" s="21">
        <v>2103.0300000000002</v>
      </c>
      <c r="D29" s="14">
        <v>2248.98</v>
      </c>
      <c r="E29" s="4">
        <v>2124.7399999999998</v>
      </c>
      <c r="F29" s="31">
        <v>5.0026999999999999</v>
      </c>
      <c r="G29" s="32">
        <v>2134.6</v>
      </c>
      <c r="H29" s="33">
        <v>2103.0300000000002</v>
      </c>
      <c r="I29" s="34">
        <v>2248.98</v>
      </c>
      <c r="J29" s="35">
        <v>2124.7399999999998</v>
      </c>
      <c r="L29" s="61">
        <f>F26+8</f>
        <v>12.001249999999999</v>
      </c>
      <c r="M29" s="62">
        <f>G26</f>
        <v>2068.3724999999995</v>
      </c>
      <c r="N29" s="63">
        <f>H26</f>
        <v>2078.7350000000001</v>
      </c>
      <c r="O29" s="63">
        <f>I26</f>
        <v>2161.7600000000002</v>
      </c>
      <c r="P29" s="64">
        <f>J26</f>
        <v>2043.59</v>
      </c>
    </row>
    <row r="30" spans="1:16" x14ac:dyDescent="0.2">
      <c r="A30" s="3">
        <v>5.0034000000000001</v>
      </c>
      <c r="B30" s="13">
        <v>2134.4899999999998</v>
      </c>
      <c r="C30" s="21">
        <v>2102.96</v>
      </c>
      <c r="D30" s="14">
        <v>2248.9499999999998</v>
      </c>
      <c r="E30" s="4">
        <v>2124.71</v>
      </c>
      <c r="F30" s="31">
        <v>5.0034000000000001</v>
      </c>
      <c r="G30" s="32">
        <v>2134.4899999999998</v>
      </c>
      <c r="H30" s="33">
        <v>2102.96</v>
      </c>
      <c r="I30" s="34">
        <v>2248.9499999999998</v>
      </c>
      <c r="J30" s="35">
        <v>2124.71</v>
      </c>
      <c r="L30" s="61">
        <f>F31+8</f>
        <v>13.002825</v>
      </c>
      <c r="M30" s="62">
        <f>G31</f>
        <v>2134.5825</v>
      </c>
      <c r="N30" s="63">
        <f>H31</f>
        <v>2103.0200000000004</v>
      </c>
      <c r="O30" s="63">
        <f>I31</f>
        <v>2248.9724999999999</v>
      </c>
      <c r="P30" s="64">
        <f>J31</f>
        <v>2124.7325000000001</v>
      </c>
    </row>
    <row r="31" spans="1:16" x14ac:dyDescent="0.2">
      <c r="A31" s="7">
        <f>AVERAGE(A27:A30)</f>
        <v>5.0028249999999996</v>
      </c>
      <c r="B31" s="17">
        <f t="shared" ref="B31:E31" si="25">AVERAGE(B27:B30)</f>
        <v>2134.5825</v>
      </c>
      <c r="C31" s="23">
        <f t="shared" si="25"/>
        <v>2103.0200000000004</v>
      </c>
      <c r="D31" s="18">
        <f t="shared" si="25"/>
        <v>2248.9724999999999</v>
      </c>
      <c r="E31" s="8">
        <f t="shared" si="25"/>
        <v>2124.7325000000001</v>
      </c>
      <c r="F31" s="41">
        <f>AVERAGE(F27:F30)</f>
        <v>5.0028249999999996</v>
      </c>
      <c r="G31" s="42">
        <f t="shared" ref="G31" si="26">AVERAGE(G27:G30)</f>
        <v>2134.5825</v>
      </c>
      <c r="H31" s="43">
        <f t="shared" ref="H31" si="27">AVERAGE(H27:H30)</f>
        <v>2103.0200000000004</v>
      </c>
      <c r="I31" s="44">
        <f t="shared" ref="I31" si="28">AVERAGE(I27:I30)</f>
        <v>2248.9724999999999</v>
      </c>
      <c r="J31" s="45">
        <f t="shared" ref="J31" si="29">AVERAGE(J27:J30)</f>
        <v>2124.7325000000001</v>
      </c>
      <c r="L31" s="61">
        <f>F36+8</f>
        <v>14.006500000000001</v>
      </c>
      <c r="M31" s="62">
        <f>G36</f>
        <v>1846.7075</v>
      </c>
      <c r="N31" s="63">
        <f>H36</f>
        <v>1900.6075000000001</v>
      </c>
      <c r="O31" s="63">
        <f>I36</f>
        <v>2097.88</v>
      </c>
      <c r="P31" s="64">
        <f>J36</f>
        <v>1991.7350000000001</v>
      </c>
    </row>
    <row r="32" spans="1:16" x14ac:dyDescent="0.2">
      <c r="A32" s="3">
        <v>6.0010000000000003</v>
      </c>
      <c r="B32" s="13">
        <v>1847.4</v>
      </c>
      <c r="C32" s="21">
        <v>1901.1</v>
      </c>
      <c r="D32" s="14">
        <v>2098.41</v>
      </c>
      <c r="E32" s="4">
        <v>1992.18</v>
      </c>
      <c r="F32" s="31">
        <v>6.0010000000000003</v>
      </c>
      <c r="G32" s="32">
        <v>1847.4</v>
      </c>
      <c r="H32" s="33">
        <v>1901.1</v>
      </c>
      <c r="I32" s="34">
        <v>2098.41</v>
      </c>
      <c r="J32" s="35">
        <v>1992.18</v>
      </c>
      <c r="L32" s="61">
        <f>F41+8</f>
        <v>15.01125</v>
      </c>
      <c r="M32" s="62">
        <f>G41</f>
        <v>1877.605</v>
      </c>
      <c r="N32" s="63">
        <f>H41</f>
        <v>1875.5825</v>
      </c>
      <c r="O32" s="63">
        <f>I41</f>
        <v>2061.0924999999997</v>
      </c>
      <c r="P32" s="64">
        <f>J41</f>
        <v>1948.62</v>
      </c>
    </row>
    <row r="33" spans="1:16" x14ac:dyDescent="0.2">
      <c r="A33" s="3">
        <v>6.0061999999999998</v>
      </c>
      <c r="B33" s="13">
        <v>1846.74</v>
      </c>
      <c r="C33" s="21">
        <v>1900.63</v>
      </c>
      <c r="D33" s="14">
        <v>2097.91</v>
      </c>
      <c r="E33" s="4">
        <v>1991.76</v>
      </c>
      <c r="F33" s="31">
        <v>6.0061999999999998</v>
      </c>
      <c r="G33" s="32">
        <v>1846.74</v>
      </c>
      <c r="H33" s="33">
        <v>1900.63</v>
      </c>
      <c r="I33" s="34">
        <v>2097.91</v>
      </c>
      <c r="J33" s="35">
        <v>1991.76</v>
      </c>
      <c r="L33" s="61">
        <f>F46+8</f>
        <v>16.013199999999998</v>
      </c>
      <c r="M33" s="62">
        <f>G46</f>
        <v>1615.3574999999998</v>
      </c>
      <c r="N33" s="63">
        <f>H46</f>
        <v>1493.9175</v>
      </c>
      <c r="O33" s="63">
        <f>I46</f>
        <v>1819.5574999999999</v>
      </c>
      <c r="P33" s="64">
        <f>J46</f>
        <v>1669.5825</v>
      </c>
    </row>
    <row r="34" spans="1:16" x14ac:dyDescent="0.2">
      <c r="A34" s="3">
        <v>6.0072999999999999</v>
      </c>
      <c r="B34" s="13">
        <v>1846.6</v>
      </c>
      <c r="C34" s="21">
        <v>1900.53</v>
      </c>
      <c r="D34" s="14">
        <v>2097.8000000000002</v>
      </c>
      <c r="E34" s="4">
        <v>1991.67</v>
      </c>
      <c r="F34" s="31">
        <v>6.0072999999999999</v>
      </c>
      <c r="G34" s="32">
        <v>1846.6</v>
      </c>
      <c r="H34" s="33">
        <v>1900.53</v>
      </c>
      <c r="I34" s="34">
        <v>2097.8000000000002</v>
      </c>
      <c r="J34" s="35">
        <v>1991.67</v>
      </c>
      <c r="L34" s="61">
        <f>F51+8</f>
        <v>17.0185</v>
      </c>
      <c r="M34" s="62">
        <f>G51</f>
        <v>1516.1650000000002</v>
      </c>
      <c r="N34" s="63">
        <f>H51</f>
        <v>1353.1624999999999</v>
      </c>
      <c r="O34" s="63">
        <f>I51</f>
        <v>1696.8199999999997</v>
      </c>
      <c r="P34" s="64">
        <f>J51</f>
        <v>1526.0374999999999</v>
      </c>
    </row>
    <row r="35" spans="1:16" x14ac:dyDescent="0.2">
      <c r="A35" s="3">
        <v>6.0114999999999998</v>
      </c>
      <c r="B35" s="13">
        <v>1846.09</v>
      </c>
      <c r="C35" s="21">
        <v>1900.17</v>
      </c>
      <c r="D35" s="14">
        <v>2097.4</v>
      </c>
      <c r="E35" s="4">
        <v>1991.33</v>
      </c>
      <c r="F35" s="31">
        <v>6.0114999999999998</v>
      </c>
      <c r="G35" s="32">
        <v>1846.09</v>
      </c>
      <c r="H35" s="33">
        <v>1900.17</v>
      </c>
      <c r="I35" s="34">
        <v>2097.4</v>
      </c>
      <c r="J35" s="35">
        <v>1991.33</v>
      </c>
      <c r="L35" s="61">
        <f>F56+8</f>
        <v>18.021325000000001</v>
      </c>
      <c r="M35" s="62">
        <f>G56</f>
        <v>1144.7625</v>
      </c>
      <c r="N35" s="63">
        <f>H56</f>
        <v>1007.91</v>
      </c>
      <c r="O35" s="63">
        <f>I56</f>
        <v>1392.9325000000001</v>
      </c>
      <c r="P35" s="64">
        <f>J56</f>
        <v>1172.9324999999999</v>
      </c>
    </row>
    <row r="36" spans="1:16" x14ac:dyDescent="0.2">
      <c r="A36" s="7">
        <f>AVERAGE(A32:A35)</f>
        <v>6.0065000000000008</v>
      </c>
      <c r="B36" s="17">
        <f t="shared" ref="B36:E36" si="30">AVERAGE(B32:B35)</f>
        <v>1846.7075</v>
      </c>
      <c r="C36" s="23">
        <f t="shared" si="30"/>
        <v>1900.6075000000001</v>
      </c>
      <c r="D36" s="18">
        <f t="shared" si="30"/>
        <v>2097.88</v>
      </c>
      <c r="E36" s="8">
        <f t="shared" si="30"/>
        <v>1991.7350000000001</v>
      </c>
      <c r="F36" s="41">
        <f>AVERAGE(F32:F35)</f>
        <v>6.0065000000000008</v>
      </c>
      <c r="G36" s="42">
        <f t="shared" ref="G36" si="31">AVERAGE(G32:G35)</f>
        <v>1846.7075</v>
      </c>
      <c r="H36" s="43">
        <f t="shared" ref="H36" si="32">AVERAGE(H32:H35)</f>
        <v>1900.6075000000001</v>
      </c>
      <c r="I36" s="44">
        <f t="shared" ref="I36" si="33">AVERAGE(I32:I35)</f>
        <v>2097.88</v>
      </c>
      <c r="J36" s="45">
        <f t="shared" ref="J36" si="34">AVERAGE(J32:J35)</f>
        <v>1991.7350000000001</v>
      </c>
      <c r="L36" s="61">
        <f>F61+8</f>
        <v>19.024149999999999</v>
      </c>
      <c r="M36" s="62">
        <f>G61</f>
        <v>1006.2325000000001</v>
      </c>
      <c r="N36" s="63">
        <f>H61</f>
        <v>874.78750000000002</v>
      </c>
      <c r="O36" s="63">
        <f>I61</f>
        <v>1227.115</v>
      </c>
      <c r="P36" s="64">
        <f>J61</f>
        <v>1063.2275</v>
      </c>
    </row>
    <row r="37" spans="1:16" ht="17" thickBot="1" x14ac:dyDescent="0.25">
      <c r="A37" s="3">
        <v>7.0109000000000004</v>
      </c>
      <c r="B37" s="13">
        <v>1877.64</v>
      </c>
      <c r="C37" s="21">
        <v>1875.66</v>
      </c>
      <c r="D37" s="14">
        <v>2061.14</v>
      </c>
      <c r="E37" s="4">
        <v>1948.69</v>
      </c>
      <c r="F37" s="31">
        <v>7.0109000000000004</v>
      </c>
      <c r="G37" s="32">
        <v>1877.64</v>
      </c>
      <c r="H37" s="33">
        <v>1875.66</v>
      </c>
      <c r="I37" s="34">
        <v>2061.14</v>
      </c>
      <c r="J37" s="35">
        <v>1948.69</v>
      </c>
      <c r="L37" s="65">
        <f>F66+8</f>
        <v>19.974024999999997</v>
      </c>
      <c r="M37" s="66">
        <f>G66</f>
        <v>731.63749999999993</v>
      </c>
      <c r="N37" s="67">
        <f>H66</f>
        <v>591.62</v>
      </c>
      <c r="O37" s="67">
        <f>I66</f>
        <v>901.91499999999996</v>
      </c>
      <c r="P37" s="68">
        <f>J66</f>
        <v>686.12</v>
      </c>
    </row>
    <row r="38" spans="1:16" x14ac:dyDescent="0.2">
      <c r="A38" s="3">
        <v>7.0109000000000004</v>
      </c>
      <c r="B38" s="13">
        <v>1877.64</v>
      </c>
      <c r="C38" s="21">
        <v>1875.66</v>
      </c>
      <c r="D38" s="14">
        <v>2061.14</v>
      </c>
      <c r="E38" s="4">
        <v>1948.68</v>
      </c>
      <c r="F38" s="31">
        <v>7.0109000000000004</v>
      </c>
      <c r="G38" s="32">
        <v>1877.64</v>
      </c>
      <c r="H38" s="33">
        <v>1875.66</v>
      </c>
      <c r="I38" s="34">
        <v>2061.14</v>
      </c>
      <c r="J38" s="35">
        <v>1948.68</v>
      </c>
    </row>
    <row r="39" spans="1:16" x14ac:dyDescent="0.2">
      <c r="A39" s="3">
        <v>7.0113000000000003</v>
      </c>
      <c r="B39" s="13">
        <v>1877.6</v>
      </c>
      <c r="C39" s="21">
        <v>1875.57</v>
      </c>
      <c r="D39" s="14">
        <v>2061.09</v>
      </c>
      <c r="E39" s="4">
        <v>1948.61</v>
      </c>
      <c r="F39" s="31">
        <v>7.0113000000000003</v>
      </c>
      <c r="G39" s="32">
        <v>1877.6</v>
      </c>
      <c r="H39" s="33">
        <v>1875.57</v>
      </c>
      <c r="I39" s="34">
        <v>2061.09</v>
      </c>
      <c r="J39" s="35">
        <v>1948.61</v>
      </c>
    </row>
    <row r="40" spans="1:16" x14ac:dyDescent="0.2">
      <c r="A40" s="3">
        <v>7.0118999999999998</v>
      </c>
      <c r="B40" s="13">
        <v>1877.54</v>
      </c>
      <c r="C40" s="21">
        <v>1875.44</v>
      </c>
      <c r="D40" s="14">
        <v>2061</v>
      </c>
      <c r="E40" s="4">
        <v>1948.5</v>
      </c>
      <c r="F40" s="31">
        <v>7.0118999999999998</v>
      </c>
      <c r="G40" s="32">
        <v>1877.54</v>
      </c>
      <c r="H40" s="33">
        <v>1875.44</v>
      </c>
      <c r="I40" s="34">
        <v>2061</v>
      </c>
      <c r="J40" s="35">
        <v>1948.5</v>
      </c>
    </row>
    <row r="41" spans="1:16" x14ac:dyDescent="0.2">
      <c r="A41" s="7">
        <f>AVERAGE(A37:A40)</f>
        <v>7.0112500000000004</v>
      </c>
      <c r="B41" s="17">
        <f t="shared" ref="B41:E41" si="35">AVERAGE(B37:B40)</f>
        <v>1877.605</v>
      </c>
      <c r="C41" s="23">
        <f t="shared" si="35"/>
        <v>1875.5825</v>
      </c>
      <c r="D41" s="18">
        <f t="shared" si="35"/>
        <v>2061.0924999999997</v>
      </c>
      <c r="E41" s="8">
        <f t="shared" si="35"/>
        <v>1948.62</v>
      </c>
      <c r="F41" s="41">
        <f>AVERAGE(F37:F40)</f>
        <v>7.0112500000000004</v>
      </c>
      <c r="G41" s="42">
        <f t="shared" ref="G41" si="36">AVERAGE(G37:G40)</f>
        <v>1877.605</v>
      </c>
      <c r="H41" s="43">
        <f t="shared" ref="H41" si="37">AVERAGE(H37:H40)</f>
        <v>1875.5825</v>
      </c>
      <c r="I41" s="44">
        <f t="shared" ref="I41" si="38">AVERAGE(I37:I40)</f>
        <v>2061.0924999999997</v>
      </c>
      <c r="J41" s="45">
        <f t="shared" ref="J41" si="39">AVERAGE(J37:J40)</f>
        <v>1948.62</v>
      </c>
    </row>
    <row r="42" spans="1:16" x14ac:dyDescent="0.2">
      <c r="A42" s="3">
        <v>8.0093999999999994</v>
      </c>
      <c r="B42" s="13">
        <v>1616.07</v>
      </c>
      <c r="C42" s="21">
        <v>1494.99</v>
      </c>
      <c r="D42" s="14">
        <v>1820.27</v>
      </c>
      <c r="E42" s="4">
        <v>1670.38</v>
      </c>
      <c r="F42" s="31">
        <v>8.0093999999999994</v>
      </c>
      <c r="G42" s="32">
        <v>1616.07</v>
      </c>
      <c r="H42" s="33">
        <v>1494.99</v>
      </c>
      <c r="I42" s="34">
        <v>1820.27</v>
      </c>
      <c r="J42" s="35">
        <v>1670.38</v>
      </c>
    </row>
    <row r="43" spans="1:16" x14ac:dyDescent="0.2">
      <c r="A43" s="3">
        <v>8.0135000000000005</v>
      </c>
      <c r="B43" s="13">
        <v>1615.3</v>
      </c>
      <c r="C43" s="21">
        <v>1493.83</v>
      </c>
      <c r="D43" s="14">
        <v>1819.5</v>
      </c>
      <c r="E43" s="4">
        <v>1669.52</v>
      </c>
      <c r="F43" s="31">
        <v>8.0135000000000005</v>
      </c>
      <c r="G43" s="32">
        <v>1615.3</v>
      </c>
      <c r="H43" s="33">
        <v>1493.83</v>
      </c>
      <c r="I43" s="34">
        <v>1819.5</v>
      </c>
      <c r="J43" s="35">
        <v>1669.52</v>
      </c>
    </row>
    <row r="44" spans="1:16" x14ac:dyDescent="0.2">
      <c r="A44" s="3">
        <v>8.0145</v>
      </c>
      <c r="B44" s="13">
        <v>1615.11</v>
      </c>
      <c r="C44" s="21">
        <v>1493.55</v>
      </c>
      <c r="D44" s="14">
        <v>1819.31</v>
      </c>
      <c r="E44" s="4">
        <v>1669.31</v>
      </c>
      <c r="F44" s="31">
        <v>8.0145</v>
      </c>
      <c r="G44" s="32">
        <v>1615.11</v>
      </c>
      <c r="H44" s="33">
        <v>1493.55</v>
      </c>
      <c r="I44" s="34">
        <v>1819.31</v>
      </c>
      <c r="J44" s="35">
        <v>1669.31</v>
      </c>
    </row>
    <row r="45" spans="1:16" x14ac:dyDescent="0.2">
      <c r="A45" s="3">
        <v>8.0153999999999996</v>
      </c>
      <c r="B45" s="13">
        <v>1614.95</v>
      </c>
      <c r="C45" s="21">
        <v>1493.3</v>
      </c>
      <c r="D45" s="14">
        <v>1819.15</v>
      </c>
      <c r="E45" s="4">
        <v>1669.12</v>
      </c>
      <c r="F45" s="31">
        <v>8.0153999999999996</v>
      </c>
      <c r="G45" s="32">
        <v>1614.95</v>
      </c>
      <c r="H45" s="33">
        <v>1493.3</v>
      </c>
      <c r="I45" s="34">
        <v>1819.15</v>
      </c>
      <c r="J45" s="35">
        <v>1669.12</v>
      </c>
    </row>
    <row r="46" spans="1:16" x14ac:dyDescent="0.2">
      <c r="A46" s="7">
        <f>AVERAGE(A42:A45)</f>
        <v>8.0131999999999994</v>
      </c>
      <c r="B46" s="17">
        <f t="shared" ref="B46:E46" si="40">AVERAGE(B42:B45)</f>
        <v>1615.3574999999998</v>
      </c>
      <c r="C46" s="23">
        <f t="shared" si="40"/>
        <v>1493.9175</v>
      </c>
      <c r="D46" s="18">
        <f t="shared" si="40"/>
        <v>1819.5574999999999</v>
      </c>
      <c r="E46" s="8">
        <f t="shared" si="40"/>
        <v>1669.5825</v>
      </c>
      <c r="F46" s="41">
        <f>AVERAGE(F42:F45)</f>
        <v>8.0131999999999994</v>
      </c>
      <c r="G46" s="42">
        <f t="shared" ref="G46" si="41">AVERAGE(G42:G45)</f>
        <v>1615.3574999999998</v>
      </c>
      <c r="H46" s="43">
        <f t="shared" ref="H46" si="42">AVERAGE(H42:H45)</f>
        <v>1493.9175</v>
      </c>
      <c r="I46" s="44">
        <f t="shared" ref="I46" si="43">AVERAGE(I42:I45)</f>
        <v>1819.5574999999999</v>
      </c>
      <c r="J46" s="45">
        <f t="shared" ref="J46" si="44">AVERAGE(J42:J45)</f>
        <v>1669.5825</v>
      </c>
    </row>
    <row r="47" spans="1:16" x14ac:dyDescent="0.2">
      <c r="A47" s="3">
        <v>9.0127000000000006</v>
      </c>
      <c r="B47" s="13">
        <v>1517.51</v>
      </c>
      <c r="C47" s="21">
        <v>1354.5</v>
      </c>
      <c r="D47" s="14">
        <v>1698.03</v>
      </c>
      <c r="E47" s="4">
        <v>1527.55</v>
      </c>
      <c r="F47" s="31">
        <v>9.0127000000000006</v>
      </c>
      <c r="G47" s="32">
        <v>1517.51</v>
      </c>
      <c r="H47" s="33">
        <v>1354.5</v>
      </c>
      <c r="I47" s="34">
        <v>1698.03</v>
      </c>
      <c r="J47" s="35">
        <v>1527.55</v>
      </c>
    </row>
    <row r="48" spans="1:16" x14ac:dyDescent="0.2">
      <c r="A48" s="3">
        <v>9.0184999999999995</v>
      </c>
      <c r="B48" s="13">
        <v>1516.18</v>
      </c>
      <c r="C48" s="21">
        <v>1353.18</v>
      </c>
      <c r="D48" s="14">
        <v>1696.83</v>
      </c>
      <c r="E48" s="4">
        <v>1526.05</v>
      </c>
      <c r="F48" s="31">
        <v>9.0184999999999995</v>
      </c>
      <c r="G48" s="32">
        <v>1516.18</v>
      </c>
      <c r="H48" s="33">
        <v>1353.18</v>
      </c>
      <c r="I48" s="34">
        <v>1696.83</v>
      </c>
      <c r="J48" s="35">
        <v>1526.05</v>
      </c>
    </row>
    <row r="49" spans="1:10" x14ac:dyDescent="0.2">
      <c r="A49" s="3">
        <v>9.0184999999999995</v>
      </c>
      <c r="B49" s="13">
        <v>1516.17</v>
      </c>
      <c r="C49" s="21">
        <v>1353.16</v>
      </c>
      <c r="D49" s="14">
        <v>1696.82</v>
      </c>
      <c r="E49" s="4">
        <v>1526.04</v>
      </c>
      <c r="F49" s="31">
        <v>9.0184999999999995</v>
      </c>
      <c r="G49" s="32">
        <v>1516.17</v>
      </c>
      <c r="H49" s="33">
        <v>1353.16</v>
      </c>
      <c r="I49" s="34">
        <v>1696.82</v>
      </c>
      <c r="J49" s="35">
        <v>1526.04</v>
      </c>
    </row>
    <row r="50" spans="1:10" x14ac:dyDescent="0.2">
      <c r="A50" s="3">
        <v>9.0243000000000002</v>
      </c>
      <c r="B50" s="13">
        <v>1514.8</v>
      </c>
      <c r="C50" s="21">
        <v>1351.81</v>
      </c>
      <c r="D50" s="14">
        <v>1695.6</v>
      </c>
      <c r="E50" s="4">
        <v>1524.51</v>
      </c>
      <c r="F50" s="31">
        <v>9.0243000000000002</v>
      </c>
      <c r="G50" s="32">
        <v>1514.8</v>
      </c>
      <c r="H50" s="33">
        <v>1351.81</v>
      </c>
      <c r="I50" s="34">
        <v>1695.6</v>
      </c>
      <c r="J50" s="35">
        <v>1524.51</v>
      </c>
    </row>
    <row r="51" spans="1:10" x14ac:dyDescent="0.2">
      <c r="A51" s="7">
        <f>AVERAGE(A47:A50)</f>
        <v>9.0184999999999995</v>
      </c>
      <c r="B51" s="17">
        <f t="shared" ref="B51:E51" si="45">AVERAGE(B47:B50)</f>
        <v>1516.1650000000002</v>
      </c>
      <c r="C51" s="23">
        <f t="shared" si="45"/>
        <v>1353.1624999999999</v>
      </c>
      <c r="D51" s="18">
        <f t="shared" si="45"/>
        <v>1696.8199999999997</v>
      </c>
      <c r="E51" s="8">
        <f t="shared" si="45"/>
        <v>1526.0374999999999</v>
      </c>
      <c r="F51" s="41">
        <f>AVERAGE(F47:F50)</f>
        <v>9.0184999999999995</v>
      </c>
      <c r="G51" s="42">
        <f t="shared" ref="G51" si="46">AVERAGE(G47:G50)</f>
        <v>1516.1650000000002</v>
      </c>
      <c r="H51" s="43">
        <f t="shared" ref="H51" si="47">AVERAGE(H47:H50)</f>
        <v>1353.1624999999999</v>
      </c>
      <c r="I51" s="44">
        <f t="shared" ref="I51" si="48">AVERAGE(I47:I50)</f>
        <v>1696.8199999999997</v>
      </c>
      <c r="J51" s="45">
        <f t="shared" ref="J51" si="49">AVERAGE(J47:J50)</f>
        <v>1526.0374999999999</v>
      </c>
    </row>
    <row r="52" spans="1:10" x14ac:dyDescent="0.2">
      <c r="A52" s="3">
        <v>10.016299999999999</v>
      </c>
      <c r="B52" s="13">
        <v>1146.17</v>
      </c>
      <c r="C52" s="21">
        <v>1009.21</v>
      </c>
      <c r="D52" s="14">
        <v>1394.17</v>
      </c>
      <c r="E52" s="4">
        <v>1174.1199999999999</v>
      </c>
      <c r="F52" s="31">
        <v>10.016299999999999</v>
      </c>
      <c r="G52" s="32">
        <v>1146.17</v>
      </c>
      <c r="H52" s="33">
        <v>1009.21</v>
      </c>
      <c r="I52" s="34">
        <v>1394.17</v>
      </c>
      <c r="J52" s="35">
        <v>1174.1199999999999</v>
      </c>
    </row>
    <row r="53" spans="1:10" x14ac:dyDescent="0.2">
      <c r="A53" s="3">
        <v>10.020300000000001</v>
      </c>
      <c r="B53" s="13">
        <v>1145.04</v>
      </c>
      <c r="C53" s="21">
        <v>1008.16</v>
      </c>
      <c r="D53" s="14">
        <v>1393.17</v>
      </c>
      <c r="E53" s="4">
        <v>1173.1600000000001</v>
      </c>
      <c r="F53" s="31">
        <v>10.020300000000001</v>
      </c>
      <c r="G53" s="32">
        <v>1145.04</v>
      </c>
      <c r="H53" s="33">
        <v>1008.16</v>
      </c>
      <c r="I53" s="34">
        <v>1393.17</v>
      </c>
      <c r="J53" s="35">
        <v>1173.1600000000001</v>
      </c>
    </row>
    <row r="54" spans="1:10" x14ac:dyDescent="0.2">
      <c r="A54" s="3">
        <v>10.022600000000001</v>
      </c>
      <c r="B54" s="13">
        <v>1144.4100000000001</v>
      </c>
      <c r="C54" s="21">
        <v>1007.59</v>
      </c>
      <c r="D54" s="14">
        <v>1392.63</v>
      </c>
      <c r="E54" s="4">
        <v>1172.6400000000001</v>
      </c>
      <c r="F54" s="31">
        <v>10.022600000000001</v>
      </c>
      <c r="G54" s="32">
        <v>1144.4100000000001</v>
      </c>
      <c r="H54" s="33">
        <v>1007.59</v>
      </c>
      <c r="I54" s="34">
        <v>1392.63</v>
      </c>
      <c r="J54" s="35">
        <v>1172.6400000000001</v>
      </c>
    </row>
    <row r="55" spans="1:10" x14ac:dyDescent="0.2">
      <c r="A55" s="3">
        <v>10.0261</v>
      </c>
      <c r="B55" s="13">
        <v>1143.43</v>
      </c>
      <c r="C55" s="21">
        <v>1006.68</v>
      </c>
      <c r="D55" s="14">
        <v>1391.76</v>
      </c>
      <c r="E55" s="4">
        <v>1171.81</v>
      </c>
      <c r="F55" s="31">
        <v>10.0261</v>
      </c>
      <c r="G55" s="32">
        <v>1143.43</v>
      </c>
      <c r="H55" s="33">
        <v>1006.68</v>
      </c>
      <c r="I55" s="34">
        <v>1391.76</v>
      </c>
      <c r="J55" s="35">
        <v>1171.81</v>
      </c>
    </row>
    <row r="56" spans="1:10" x14ac:dyDescent="0.2">
      <c r="A56" s="7">
        <f>AVERAGE(A52:A55)</f>
        <v>10.021325000000001</v>
      </c>
      <c r="B56" s="17">
        <f t="shared" ref="B56:E56" si="50">AVERAGE(B52:B55)</f>
        <v>1144.7625</v>
      </c>
      <c r="C56" s="23">
        <f t="shared" si="50"/>
        <v>1007.91</v>
      </c>
      <c r="D56" s="18">
        <f t="shared" si="50"/>
        <v>1392.9325000000001</v>
      </c>
      <c r="E56" s="8">
        <f t="shared" si="50"/>
        <v>1172.9324999999999</v>
      </c>
      <c r="F56" s="41">
        <f>AVERAGE(F52:F55)</f>
        <v>10.021325000000001</v>
      </c>
      <c r="G56" s="42">
        <f t="shared" ref="G56" si="51">AVERAGE(G52:G55)</f>
        <v>1144.7625</v>
      </c>
      <c r="H56" s="43">
        <f t="shared" ref="H56" si="52">AVERAGE(H52:H55)</f>
        <v>1007.91</v>
      </c>
      <c r="I56" s="44">
        <f t="shared" ref="I56" si="53">AVERAGE(I52:I55)</f>
        <v>1392.9325000000001</v>
      </c>
      <c r="J56" s="45">
        <f t="shared" ref="J56" si="54">AVERAGE(J52:J55)</f>
        <v>1172.9324999999999</v>
      </c>
    </row>
    <row r="57" spans="1:10" x14ac:dyDescent="0.2">
      <c r="A57" s="3">
        <v>11.020300000000001</v>
      </c>
      <c r="B57" s="13">
        <v>1006.85</v>
      </c>
      <c r="C57" s="21">
        <v>875.42</v>
      </c>
      <c r="D57" s="14">
        <v>1227.94</v>
      </c>
      <c r="E57" s="4">
        <v>1063.95</v>
      </c>
      <c r="F57" s="31">
        <v>11.020300000000001</v>
      </c>
      <c r="G57" s="32">
        <v>1006.85</v>
      </c>
      <c r="H57" s="33">
        <v>875.42</v>
      </c>
      <c r="I57" s="34">
        <v>1227.94</v>
      </c>
      <c r="J57" s="35">
        <v>1063.95</v>
      </c>
    </row>
    <row r="58" spans="1:10" x14ac:dyDescent="0.2">
      <c r="A58" s="3">
        <v>11.021599999999999</v>
      </c>
      <c r="B58" s="13">
        <v>1006.64</v>
      </c>
      <c r="C58" s="21">
        <v>875.21</v>
      </c>
      <c r="D58" s="14">
        <v>1227.67</v>
      </c>
      <c r="E58" s="4">
        <v>1063.71</v>
      </c>
      <c r="F58" s="31">
        <v>11.021599999999999</v>
      </c>
      <c r="G58" s="32">
        <v>1006.64</v>
      </c>
      <c r="H58" s="33">
        <v>875.21</v>
      </c>
      <c r="I58" s="34">
        <v>1227.67</v>
      </c>
      <c r="J58" s="35">
        <v>1063.71</v>
      </c>
    </row>
    <row r="59" spans="1:10" x14ac:dyDescent="0.2">
      <c r="A59" s="3">
        <v>11.0244</v>
      </c>
      <c r="B59" s="13">
        <v>1006.2</v>
      </c>
      <c r="C59" s="21">
        <v>874.75</v>
      </c>
      <c r="D59" s="14">
        <v>1227.07</v>
      </c>
      <c r="E59" s="4">
        <v>1063.19</v>
      </c>
      <c r="F59" s="31">
        <v>11.0244</v>
      </c>
      <c r="G59" s="32">
        <v>1006.2</v>
      </c>
      <c r="H59" s="33">
        <v>874.75</v>
      </c>
      <c r="I59" s="34">
        <v>1227.07</v>
      </c>
      <c r="J59" s="35">
        <v>1063.19</v>
      </c>
    </row>
    <row r="60" spans="1:10" x14ac:dyDescent="0.2">
      <c r="A60" s="3">
        <v>11.0303</v>
      </c>
      <c r="B60" s="13">
        <v>1005.24</v>
      </c>
      <c r="C60" s="21">
        <v>873.77</v>
      </c>
      <c r="D60" s="14">
        <v>1225.78</v>
      </c>
      <c r="E60" s="4">
        <v>1062.06</v>
      </c>
      <c r="F60" s="31">
        <v>11.0303</v>
      </c>
      <c r="G60" s="32">
        <v>1005.24</v>
      </c>
      <c r="H60" s="33">
        <v>873.77</v>
      </c>
      <c r="I60" s="34">
        <v>1225.78</v>
      </c>
      <c r="J60" s="35">
        <v>1062.06</v>
      </c>
    </row>
    <row r="61" spans="1:10" x14ac:dyDescent="0.2">
      <c r="A61" s="7">
        <f>AVERAGE(A57:A60)</f>
        <v>11.024149999999999</v>
      </c>
      <c r="B61" s="17">
        <f t="shared" ref="B61:E61" si="55">AVERAGE(B57:B60)</f>
        <v>1006.2325000000001</v>
      </c>
      <c r="C61" s="23">
        <f t="shared" si="55"/>
        <v>874.78750000000002</v>
      </c>
      <c r="D61" s="18">
        <f t="shared" si="55"/>
        <v>1227.115</v>
      </c>
      <c r="E61" s="8">
        <f t="shared" si="55"/>
        <v>1063.2275</v>
      </c>
      <c r="F61" s="41">
        <f>AVERAGE(F57:F60)</f>
        <v>11.024149999999999</v>
      </c>
      <c r="G61" s="42">
        <f t="shared" ref="G61" si="56">AVERAGE(G57:G60)</f>
        <v>1006.2325000000001</v>
      </c>
      <c r="H61" s="43">
        <f t="shared" ref="H61" si="57">AVERAGE(H57:H60)</f>
        <v>874.78750000000002</v>
      </c>
      <c r="I61" s="44">
        <f t="shared" ref="I61" si="58">AVERAGE(I57:I60)</f>
        <v>1227.115</v>
      </c>
      <c r="J61" s="45">
        <f t="shared" ref="J61" si="59">AVERAGE(J57:J60)</f>
        <v>1063.2275</v>
      </c>
    </row>
    <row r="62" spans="1:10" x14ac:dyDescent="0.2">
      <c r="A62" s="3">
        <v>11.9702</v>
      </c>
      <c r="B62" s="13">
        <v>733.01</v>
      </c>
      <c r="C62" s="21">
        <v>593.04</v>
      </c>
      <c r="D62" s="14">
        <v>903.49</v>
      </c>
      <c r="E62" s="4">
        <v>688.07</v>
      </c>
      <c r="F62" s="31">
        <v>11.9702</v>
      </c>
      <c r="G62" s="32">
        <v>733.01</v>
      </c>
      <c r="H62" s="33">
        <v>593.04</v>
      </c>
      <c r="I62" s="34">
        <v>903.49</v>
      </c>
      <c r="J62" s="35">
        <v>688.07</v>
      </c>
    </row>
    <row r="63" spans="1:10" x14ac:dyDescent="0.2">
      <c r="A63" s="3">
        <v>11.971399999999999</v>
      </c>
      <c r="B63" s="13">
        <v>732.57</v>
      </c>
      <c r="C63" s="21">
        <v>592.58000000000004</v>
      </c>
      <c r="D63" s="14">
        <v>902.98</v>
      </c>
      <c r="E63" s="4">
        <v>687.44</v>
      </c>
      <c r="F63" s="31">
        <v>11.971399999999999</v>
      </c>
      <c r="G63" s="32">
        <v>732.57</v>
      </c>
      <c r="H63" s="33">
        <v>592.58000000000004</v>
      </c>
      <c r="I63" s="34">
        <v>902.98</v>
      </c>
      <c r="J63" s="35">
        <v>687.44</v>
      </c>
    </row>
    <row r="64" spans="1:10" x14ac:dyDescent="0.2">
      <c r="A64" s="3">
        <v>11.974399999999999</v>
      </c>
      <c r="B64" s="13">
        <v>731.49</v>
      </c>
      <c r="C64" s="21">
        <v>591.47</v>
      </c>
      <c r="D64" s="14">
        <v>901.74</v>
      </c>
      <c r="E64" s="4">
        <v>685.91</v>
      </c>
      <c r="F64" s="31">
        <v>11.974399999999999</v>
      </c>
      <c r="G64" s="32">
        <v>731.49</v>
      </c>
      <c r="H64" s="33">
        <v>591.47</v>
      </c>
      <c r="I64" s="34">
        <v>901.74</v>
      </c>
      <c r="J64" s="35">
        <v>685.91</v>
      </c>
    </row>
    <row r="65" spans="1:10" x14ac:dyDescent="0.2">
      <c r="A65" s="3">
        <v>11.9801</v>
      </c>
      <c r="B65" s="13">
        <v>729.48</v>
      </c>
      <c r="C65" s="21">
        <v>589.39</v>
      </c>
      <c r="D65" s="14">
        <v>899.45</v>
      </c>
      <c r="E65" s="4">
        <v>683.06</v>
      </c>
      <c r="F65" s="31">
        <v>11.9801</v>
      </c>
      <c r="G65" s="32">
        <v>729.48</v>
      </c>
      <c r="H65" s="33">
        <v>589.39</v>
      </c>
      <c r="I65" s="34">
        <v>899.45</v>
      </c>
      <c r="J65" s="35">
        <v>683.06</v>
      </c>
    </row>
    <row r="66" spans="1:10" ht="17" thickBot="1" x14ac:dyDescent="0.25">
      <c r="A66" s="9">
        <f>AVERAGE(A62:A65)</f>
        <v>11.974024999999999</v>
      </c>
      <c r="B66" s="19">
        <f t="shared" ref="B66:E66" si="60">AVERAGE(B62:B65)</f>
        <v>731.63749999999993</v>
      </c>
      <c r="C66" s="25">
        <f t="shared" si="60"/>
        <v>591.62</v>
      </c>
      <c r="D66" s="20">
        <f t="shared" si="60"/>
        <v>901.91499999999996</v>
      </c>
      <c r="E66" s="10">
        <f t="shared" si="60"/>
        <v>686.12</v>
      </c>
      <c r="F66" s="46">
        <f>AVERAGE(F62:F65)</f>
        <v>11.974024999999999</v>
      </c>
      <c r="G66" s="47">
        <f t="shared" ref="G66" si="61">AVERAGE(G62:G65)</f>
        <v>731.63749999999993</v>
      </c>
      <c r="H66" s="48">
        <f t="shared" ref="H66" si="62">AVERAGE(H62:H65)</f>
        <v>591.62</v>
      </c>
      <c r="I66" s="49">
        <f t="shared" ref="I66" si="63">AVERAGE(I62:I65)</f>
        <v>901.91499999999996</v>
      </c>
      <c r="J66" s="50">
        <f t="shared" ref="J66" si="64">AVERAGE(J62:J65)</f>
        <v>686.12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V62"/>
  <sheetViews>
    <sheetView topLeftCell="D1" zoomScale="113" workbookViewId="0">
      <selection activeCell="O5" sqref="O5:S20"/>
    </sheetView>
  </sheetViews>
  <sheetFormatPr baseColWidth="10" defaultRowHeight="16" x14ac:dyDescent="0.2"/>
  <sheetData>
    <row r="3" spans="2:22" x14ac:dyDescent="0.2">
      <c r="C3">
        <f>SUM(C10:C15,C19)</f>
        <v>2621</v>
      </c>
      <c r="D3">
        <f>SUM(D10:D15,D19)</f>
        <v>4583</v>
      </c>
      <c r="E3">
        <f>SUM(E10:E15,E19)</f>
        <v>4288</v>
      </c>
      <c r="F3" s="70">
        <f>SUM(C10:E15,C19:E19)</f>
        <v>11492</v>
      </c>
      <c r="J3">
        <f>SUM(J10:J15,J19)</f>
        <v>2618</v>
      </c>
      <c r="K3">
        <f t="shared" ref="K3:L3" si="0">SUM(K10:K15,K19)</f>
        <v>4539</v>
      </c>
      <c r="L3">
        <f t="shared" si="0"/>
        <v>4446</v>
      </c>
      <c r="M3">
        <f>SUM(J10:L15,J19:L19)</f>
        <v>11603</v>
      </c>
    </row>
    <row r="4" spans="2:22" ht="17" thickBot="1" x14ac:dyDescent="0.25">
      <c r="B4" s="70"/>
      <c r="C4" s="70">
        <f>C3/F3</f>
        <v>0.2280717020536025</v>
      </c>
      <c r="D4" s="70">
        <f>D3/F3</f>
        <v>0.39879916463626869</v>
      </c>
      <c r="E4" s="70">
        <f>E3/F3</f>
        <v>0.37312913331012876</v>
      </c>
      <c r="F4" s="70">
        <f>SUM(C4:E4)</f>
        <v>1</v>
      </c>
      <c r="G4" s="70"/>
      <c r="H4" s="70"/>
      <c r="I4" s="70"/>
      <c r="J4" s="70">
        <f>J3/M3</f>
        <v>0.22563130224941824</v>
      </c>
      <c r="K4" s="70">
        <f>K3/M3</f>
        <v>0.39119193312074463</v>
      </c>
      <c r="L4" s="70">
        <f>L3/M3</f>
        <v>0.38317676462983713</v>
      </c>
      <c r="M4" s="70">
        <f>SUM(J4:L4)</f>
        <v>1</v>
      </c>
      <c r="N4" s="70"/>
      <c r="O4" s="70"/>
      <c r="P4" s="70"/>
      <c r="Q4" s="70"/>
      <c r="R4" s="70"/>
      <c r="S4" s="70"/>
      <c r="T4" s="70"/>
      <c r="U4" s="70"/>
      <c r="V4" s="70"/>
    </row>
    <row r="5" spans="2:22" ht="17" thickBot="1" x14ac:dyDescent="0.25">
      <c r="B5" s="92" t="s">
        <v>17</v>
      </c>
      <c r="C5" s="91"/>
      <c r="D5" s="91"/>
      <c r="E5" s="91"/>
      <c r="F5" s="90"/>
      <c r="G5" s="70"/>
      <c r="H5" s="70"/>
      <c r="I5" s="92" t="s">
        <v>16</v>
      </c>
      <c r="J5" s="91"/>
      <c r="K5" s="91"/>
      <c r="L5" s="91"/>
      <c r="M5" s="90"/>
      <c r="N5" s="70"/>
      <c r="O5" s="124" t="s">
        <v>15</v>
      </c>
      <c r="P5" s="125"/>
      <c r="Q5" s="125"/>
      <c r="R5" s="125"/>
      <c r="S5" s="135"/>
      <c r="T5" s="70"/>
      <c r="U5" s="70"/>
      <c r="V5" s="70"/>
    </row>
    <row r="6" spans="2:22" x14ac:dyDescent="0.2">
      <c r="B6" s="78"/>
      <c r="C6" s="82" t="s">
        <v>12</v>
      </c>
      <c r="D6" s="112" t="s">
        <v>11</v>
      </c>
      <c r="E6" s="112" t="s">
        <v>10</v>
      </c>
      <c r="F6" s="113" t="s">
        <v>9</v>
      </c>
      <c r="G6" s="70"/>
      <c r="H6" s="70"/>
      <c r="I6" s="78"/>
      <c r="J6" s="82" t="s">
        <v>12</v>
      </c>
      <c r="K6" s="112" t="s">
        <v>11</v>
      </c>
      <c r="L6" s="112" t="s">
        <v>10</v>
      </c>
      <c r="M6" s="113" t="s">
        <v>9</v>
      </c>
      <c r="N6" s="70"/>
      <c r="O6" s="126"/>
      <c r="P6" s="112" t="s">
        <v>12</v>
      </c>
      <c r="Q6" s="131" t="s">
        <v>11</v>
      </c>
      <c r="R6" s="112" t="s">
        <v>10</v>
      </c>
      <c r="S6" s="136" t="s">
        <v>9</v>
      </c>
      <c r="T6" s="70"/>
      <c r="U6" s="70"/>
      <c r="V6" s="70"/>
    </row>
    <row r="7" spans="2:22" x14ac:dyDescent="0.2">
      <c r="B7" s="78" t="s">
        <v>18</v>
      </c>
      <c r="C7" s="114">
        <v>451</v>
      </c>
      <c r="D7" s="115">
        <v>774</v>
      </c>
      <c r="E7" s="115">
        <v>795</v>
      </c>
      <c r="F7" s="116">
        <f>SUM(C7:E7)</f>
        <v>2020</v>
      </c>
      <c r="G7" s="70"/>
      <c r="H7" s="70"/>
      <c r="I7" s="78" t="s">
        <v>18</v>
      </c>
      <c r="J7" s="114">
        <v>451</v>
      </c>
      <c r="K7" s="115">
        <v>774</v>
      </c>
      <c r="L7" s="115">
        <v>795</v>
      </c>
      <c r="M7" s="116">
        <f>SUM(J7:L7)</f>
        <v>2020</v>
      </c>
      <c r="N7" s="70"/>
      <c r="O7" s="127" t="s">
        <v>18</v>
      </c>
      <c r="P7" s="128">
        <v>451</v>
      </c>
      <c r="Q7" s="132">
        <v>774</v>
      </c>
      <c r="R7" s="128">
        <v>795</v>
      </c>
      <c r="S7" s="137">
        <f>SUM(P7:R7)</f>
        <v>2020</v>
      </c>
      <c r="T7" s="70"/>
      <c r="U7" s="70"/>
      <c r="V7" s="70"/>
    </row>
    <row r="8" spans="2:22" x14ac:dyDescent="0.2">
      <c r="B8" s="81">
        <v>8</v>
      </c>
      <c r="C8" s="79">
        <f>F8*C4</f>
        <v>80.737382526975281</v>
      </c>
      <c r="D8" s="79">
        <f>F8*D4</f>
        <v>141.17490428123912</v>
      </c>
      <c r="E8" s="79">
        <f>F8*E4</f>
        <v>132.08771319178558</v>
      </c>
      <c r="F8" s="117">
        <v>354</v>
      </c>
      <c r="G8" s="70"/>
      <c r="H8" s="70"/>
      <c r="I8" s="81">
        <v>8</v>
      </c>
      <c r="J8" s="79">
        <f>M8*J4</f>
        <v>73.330173231060925</v>
      </c>
      <c r="K8" s="79">
        <f>M8*K4</f>
        <v>127.137378264242</v>
      </c>
      <c r="L8" s="79">
        <f>M8*L4</f>
        <v>124.53244850469707</v>
      </c>
      <c r="M8" s="117">
        <v>325</v>
      </c>
      <c r="N8" s="70"/>
      <c r="O8" s="129">
        <v>8</v>
      </c>
      <c r="P8" s="51">
        <f>(C8+J8+C29+J29)/4</f>
        <v>74.991351569364355</v>
      </c>
      <c r="Q8" s="133">
        <f>(D8+K8+D29+K29)/4</f>
        <v>132.16980441054059</v>
      </c>
      <c r="R8" s="51">
        <f>(E8+L8+E29+L29)/4</f>
        <v>126.33884402009505</v>
      </c>
      <c r="S8" s="138">
        <f>(F8+M8+F29+M29)/4</f>
        <v>333.25</v>
      </c>
      <c r="T8" s="70"/>
      <c r="U8" s="70"/>
      <c r="V8" s="70"/>
    </row>
    <row r="9" spans="2:22" x14ac:dyDescent="0.2">
      <c r="B9" s="81">
        <v>9</v>
      </c>
      <c r="C9" s="79">
        <f>F9*C4</f>
        <v>272.77375565610856</v>
      </c>
      <c r="D9" s="79">
        <f>F9*D4</f>
        <v>476.96380090497735</v>
      </c>
      <c r="E9" s="79">
        <f>F9*E4</f>
        <v>446.26244343891398</v>
      </c>
      <c r="F9" s="117">
        <v>1196</v>
      </c>
      <c r="G9" s="70"/>
      <c r="H9" s="70"/>
      <c r="I9" s="81">
        <v>9</v>
      </c>
      <c r="J9" s="79">
        <f>M9*J4</f>
        <v>284.52107213651641</v>
      </c>
      <c r="K9" s="79">
        <f>M9*K4</f>
        <v>493.29302766525899</v>
      </c>
      <c r="L9" s="79">
        <f>M9*L4</f>
        <v>483.1859001982246</v>
      </c>
      <c r="M9" s="117">
        <v>1261</v>
      </c>
      <c r="N9" s="70"/>
      <c r="O9" s="129">
        <v>9</v>
      </c>
      <c r="P9" s="51">
        <f>(C9+J9+C30+J30)/4</f>
        <v>271.65982191721213</v>
      </c>
      <c r="Q9" s="133">
        <f>(D9+K9+D30+K30)/4</f>
        <v>478.21612497659646</v>
      </c>
      <c r="R9" s="51">
        <f>(E9+L9+E30+L30)/4</f>
        <v>457.12405310619141</v>
      </c>
      <c r="S9" s="138">
        <f>(F9+M9+F30+M30)/4</f>
        <v>1206.75</v>
      </c>
      <c r="T9" s="70"/>
      <c r="U9" s="70"/>
      <c r="V9" s="70"/>
    </row>
    <row r="10" spans="2:22" x14ac:dyDescent="0.2">
      <c r="B10" s="78">
        <v>10</v>
      </c>
      <c r="C10" s="118">
        <v>419</v>
      </c>
      <c r="D10" s="51">
        <v>730</v>
      </c>
      <c r="E10" s="51">
        <v>560</v>
      </c>
      <c r="F10" s="119">
        <f>SUM(C10:E10)</f>
        <v>1709</v>
      </c>
      <c r="H10" s="70"/>
      <c r="I10" s="78">
        <v>10</v>
      </c>
      <c r="J10" s="118">
        <v>403</v>
      </c>
      <c r="K10" s="51">
        <v>712</v>
      </c>
      <c r="L10" s="51">
        <v>626</v>
      </c>
      <c r="M10" s="119">
        <f>SUM(J10:L10)</f>
        <v>1741</v>
      </c>
      <c r="N10" s="70"/>
      <c r="O10" s="129">
        <v>10</v>
      </c>
      <c r="P10" s="51">
        <f>(C10+J10+C31+J31)/4</f>
        <v>416.5</v>
      </c>
      <c r="Q10" s="133">
        <f>(D10+K10+D31+K31)/4</f>
        <v>688</v>
      </c>
      <c r="R10" s="51">
        <f>(E10+L10+E31+L31)/4</f>
        <v>566.25</v>
      </c>
      <c r="S10" s="138">
        <f>(F10+M10+F31+M31)/4</f>
        <v>1670.75</v>
      </c>
      <c r="T10" s="70"/>
      <c r="U10" s="70"/>
      <c r="V10" s="70"/>
    </row>
    <row r="11" spans="2:22" x14ac:dyDescent="0.2">
      <c r="B11" s="78">
        <v>11</v>
      </c>
      <c r="C11" s="51">
        <v>434</v>
      </c>
      <c r="D11" s="51">
        <v>737</v>
      </c>
      <c r="E11" s="51">
        <v>749</v>
      </c>
      <c r="F11" s="119">
        <f>SUM(C11:E11)</f>
        <v>1920</v>
      </c>
      <c r="G11" s="70"/>
      <c r="H11" s="70"/>
      <c r="I11" s="78">
        <v>11</v>
      </c>
      <c r="J11" s="51">
        <v>427</v>
      </c>
      <c r="K11" s="51">
        <v>747</v>
      </c>
      <c r="L11" s="51">
        <v>749</v>
      </c>
      <c r="M11" s="119">
        <f>SUM(J11:L11)</f>
        <v>1923</v>
      </c>
      <c r="N11" s="70"/>
      <c r="O11" s="129">
        <v>11</v>
      </c>
      <c r="P11" s="51">
        <f>(C11+J11+C32+J32)/4</f>
        <v>407.75</v>
      </c>
      <c r="Q11" s="133">
        <f>(D11+K11+D32+K32)/4</f>
        <v>733.75</v>
      </c>
      <c r="R11" s="51">
        <f>(E11+L11+E32+L32)/4</f>
        <v>728.5</v>
      </c>
      <c r="S11" s="138">
        <f>(F11+M11+F32+M32)/4</f>
        <v>1870</v>
      </c>
      <c r="T11" s="70"/>
      <c r="U11" s="70"/>
      <c r="V11" s="70"/>
    </row>
    <row r="12" spans="2:22" x14ac:dyDescent="0.2">
      <c r="B12" s="78">
        <v>12</v>
      </c>
      <c r="C12" s="51">
        <v>434</v>
      </c>
      <c r="D12" s="51">
        <v>733</v>
      </c>
      <c r="E12" s="51">
        <v>772</v>
      </c>
      <c r="F12" s="119">
        <f>SUM(C12:E12)</f>
        <v>1939</v>
      </c>
      <c r="G12" s="70"/>
      <c r="H12" s="70"/>
      <c r="I12" s="78">
        <v>12</v>
      </c>
      <c r="J12" s="51">
        <v>432</v>
      </c>
      <c r="K12" s="51">
        <v>757</v>
      </c>
      <c r="L12" s="51">
        <v>763</v>
      </c>
      <c r="M12" s="119">
        <f>SUM(J12:L12)</f>
        <v>1952</v>
      </c>
      <c r="N12" s="70"/>
      <c r="O12" s="129">
        <v>12</v>
      </c>
      <c r="P12" s="51">
        <f>(C12+J12+C33+J33)/4</f>
        <v>415</v>
      </c>
      <c r="Q12" s="133">
        <f>(D12+K12+D33+K33)/4</f>
        <v>738.75</v>
      </c>
      <c r="R12" s="51">
        <f>(E12+L12+E33+L33)/4</f>
        <v>744.5</v>
      </c>
      <c r="S12" s="138">
        <f>(F12+M12+F33+M33)/4</f>
        <v>1898.25</v>
      </c>
      <c r="T12" s="70"/>
      <c r="U12" s="70"/>
      <c r="V12" s="70"/>
    </row>
    <row r="13" spans="2:22" x14ac:dyDescent="0.2">
      <c r="B13" s="78">
        <v>13</v>
      </c>
      <c r="C13" s="51">
        <v>407</v>
      </c>
      <c r="D13" s="51">
        <v>684</v>
      </c>
      <c r="E13" s="51">
        <v>699</v>
      </c>
      <c r="F13" s="119">
        <f>SUM(C13:E13)</f>
        <v>1790</v>
      </c>
      <c r="G13" s="70"/>
      <c r="H13" s="70"/>
      <c r="I13" s="78">
        <v>13</v>
      </c>
      <c r="J13" s="51">
        <v>408</v>
      </c>
      <c r="K13" s="51">
        <v>702</v>
      </c>
      <c r="L13" s="51">
        <v>708</v>
      </c>
      <c r="M13" s="119">
        <f>SUM(J13:L13)</f>
        <v>1818</v>
      </c>
      <c r="N13" s="70"/>
      <c r="O13" s="129">
        <v>13</v>
      </c>
      <c r="P13" s="51">
        <f>(C13+J13+C34+J34)/4</f>
        <v>396.75</v>
      </c>
      <c r="Q13" s="133">
        <f>(D13+K13+D34+K34)/4</f>
        <v>693.75</v>
      </c>
      <c r="R13" s="51">
        <f>(E13+L13+E34+L34)/4</f>
        <v>702.25</v>
      </c>
      <c r="S13" s="138">
        <f>(F13+M13+F34+M34)/4</f>
        <v>1792.75</v>
      </c>
      <c r="T13" s="70"/>
      <c r="U13" s="70"/>
      <c r="V13" s="70"/>
    </row>
    <row r="14" spans="2:22" x14ac:dyDescent="0.2">
      <c r="B14" s="78">
        <v>14</v>
      </c>
      <c r="C14" s="51">
        <v>369</v>
      </c>
      <c r="D14" s="51">
        <v>662</v>
      </c>
      <c r="E14" s="51">
        <v>615</v>
      </c>
      <c r="F14" s="119">
        <f>SUM(C14:E14)</f>
        <v>1646</v>
      </c>
      <c r="G14" s="70"/>
      <c r="H14" s="70"/>
      <c r="I14" s="78">
        <v>14</v>
      </c>
      <c r="J14" s="51">
        <v>399</v>
      </c>
      <c r="K14" s="51">
        <v>692</v>
      </c>
      <c r="L14" s="51">
        <v>711</v>
      </c>
      <c r="M14" s="119">
        <f>SUM(J14:L14)</f>
        <v>1802</v>
      </c>
      <c r="N14" s="70"/>
      <c r="O14" s="129">
        <v>14</v>
      </c>
      <c r="P14" s="51">
        <f>(C14+J14+C35+J35)/4</f>
        <v>362.25</v>
      </c>
      <c r="Q14" s="133">
        <f>(D14+K14+D35+K35)/4</f>
        <v>672.25</v>
      </c>
      <c r="R14" s="51">
        <f>(E14+L14+E35+L35)/4</f>
        <v>667.25</v>
      </c>
      <c r="S14" s="138">
        <f>(F14+M14+F35+M35)/4</f>
        <v>1701.75</v>
      </c>
      <c r="T14" s="70"/>
      <c r="U14" s="70"/>
      <c r="V14" s="70"/>
    </row>
    <row r="15" spans="2:22" x14ac:dyDescent="0.2">
      <c r="B15" s="78">
        <v>15</v>
      </c>
      <c r="C15" s="51">
        <v>393</v>
      </c>
      <c r="D15" s="51">
        <v>645</v>
      </c>
      <c r="E15" s="51">
        <v>616</v>
      </c>
      <c r="F15" s="119">
        <f>SUM(C15:E15)</f>
        <v>1654</v>
      </c>
      <c r="G15" s="70"/>
      <c r="H15" s="70"/>
      <c r="I15" s="78">
        <v>15</v>
      </c>
      <c r="J15" s="51">
        <v>384</v>
      </c>
      <c r="K15" s="51">
        <v>618</v>
      </c>
      <c r="L15" s="51">
        <v>640</v>
      </c>
      <c r="M15" s="119">
        <f>SUM(J15:L15)</f>
        <v>1642</v>
      </c>
      <c r="N15" s="70"/>
      <c r="O15" s="129">
        <v>15</v>
      </c>
      <c r="P15" s="51">
        <f>(C15+J15+C36+J36)/4</f>
        <v>369.5</v>
      </c>
      <c r="Q15" s="133">
        <f>(D15+K15+D36+K36)/4</f>
        <v>614.25</v>
      </c>
      <c r="R15" s="51">
        <f>(E15+L15+E36+L36)/4</f>
        <v>606.25</v>
      </c>
      <c r="S15" s="138">
        <f>(F15+M15+F36+M36)/4</f>
        <v>1590</v>
      </c>
      <c r="T15" s="70"/>
      <c r="U15" s="70"/>
      <c r="V15" s="70"/>
    </row>
    <row r="16" spans="2:22" x14ac:dyDescent="0.2">
      <c r="B16" s="81">
        <v>16</v>
      </c>
      <c r="C16" s="79">
        <f>F16*C4</f>
        <v>310.63365819700658</v>
      </c>
      <c r="D16" s="79">
        <f>F16*D4</f>
        <v>543.16446223459798</v>
      </c>
      <c r="E16" s="79">
        <f>F16*E4</f>
        <v>508.20187956839538</v>
      </c>
      <c r="F16" s="117">
        <v>1362</v>
      </c>
      <c r="G16" s="70"/>
      <c r="H16" s="70"/>
      <c r="I16" s="81">
        <v>16</v>
      </c>
      <c r="J16" s="79">
        <f>M16*J4</f>
        <v>354.01551322933722</v>
      </c>
      <c r="K16" s="79">
        <f>M16*K4</f>
        <v>613.78014306644832</v>
      </c>
      <c r="L16" s="79">
        <f>M16*L4</f>
        <v>601.20434370421447</v>
      </c>
      <c r="M16" s="117">
        <v>1569</v>
      </c>
      <c r="N16" s="70"/>
      <c r="O16" s="129">
        <v>16</v>
      </c>
      <c r="P16" s="51">
        <f>(C16+J16+C37+J37)/4</f>
        <v>316.89554985235588</v>
      </c>
      <c r="Q16" s="133">
        <f>(D16+K16+D37+K37)/4</f>
        <v>557.48902344722501</v>
      </c>
      <c r="R16" s="51">
        <f>(E16+L16+E37+L37)/4</f>
        <v>532.61542670041911</v>
      </c>
      <c r="S16" s="138">
        <f>(F16+M16+F37+M37)/4</f>
        <v>1407</v>
      </c>
      <c r="T16" s="70"/>
      <c r="U16" s="70"/>
      <c r="V16" s="70"/>
    </row>
    <row r="17" spans="2:22" x14ac:dyDescent="0.2">
      <c r="B17" s="81">
        <v>17</v>
      </c>
      <c r="C17" s="79">
        <f>F17*C4</f>
        <v>293.9844239470936</v>
      </c>
      <c r="D17" s="79">
        <f>F17*D4</f>
        <v>514.05212321615033</v>
      </c>
      <c r="E17" s="79">
        <f>F17*E4</f>
        <v>480.96345283675595</v>
      </c>
      <c r="F17" s="117">
        <v>1289</v>
      </c>
      <c r="G17" s="70"/>
      <c r="H17" s="70"/>
      <c r="I17" s="81">
        <v>17</v>
      </c>
      <c r="J17" s="79">
        <f>M17*J4</f>
        <v>334.15995863138841</v>
      </c>
      <c r="K17" s="79">
        <f>M17*K4</f>
        <v>579.35525295182276</v>
      </c>
      <c r="L17" s="79">
        <f>M17*L4</f>
        <v>567.48478841678877</v>
      </c>
      <c r="M17" s="117">
        <v>1481</v>
      </c>
      <c r="N17" s="70"/>
      <c r="O17" s="129">
        <v>17</v>
      </c>
      <c r="P17" s="51">
        <f>(C17+J17+C38+J38)/4</f>
        <v>294.70009407013345</v>
      </c>
      <c r="Q17" s="133">
        <f>(D17+K17+D38+K38)/4</f>
        <v>518.603999448737</v>
      </c>
      <c r="R17" s="51">
        <f>(E17+L17+E38+L38)/4</f>
        <v>495.1959064811295</v>
      </c>
      <c r="S17" s="138">
        <f>(F17+M17+F38+M38)/4</f>
        <v>1308.25</v>
      </c>
      <c r="T17" s="70"/>
      <c r="U17" s="70"/>
      <c r="V17" s="70"/>
    </row>
    <row r="18" spans="2:22" x14ac:dyDescent="0.2">
      <c r="B18" s="81">
        <v>18</v>
      </c>
      <c r="C18" s="79">
        <f>F18*C4</f>
        <v>215.29968673860077</v>
      </c>
      <c r="D18" s="79">
        <f>F18*D4+1</f>
        <v>377.46641141663764</v>
      </c>
      <c r="E18" s="79">
        <f>F18*E4</f>
        <v>352.23390184476153</v>
      </c>
      <c r="F18" s="117">
        <v>944</v>
      </c>
      <c r="G18" s="70"/>
      <c r="H18" s="70"/>
      <c r="I18" s="81">
        <v>18</v>
      </c>
      <c r="J18" s="79">
        <f>M18*J4</f>
        <v>273.46513832629489</v>
      </c>
      <c r="K18" s="79">
        <f>M18*K4+1</f>
        <v>475.12462294234251</v>
      </c>
      <c r="L18" s="79">
        <f>M18*L4</f>
        <v>464.4102387313626</v>
      </c>
      <c r="M18" s="117">
        <v>1212</v>
      </c>
      <c r="N18" s="70"/>
      <c r="O18" s="129">
        <v>18</v>
      </c>
      <c r="P18" s="51">
        <f>(C18+J18+C39+J39)/4</f>
        <v>223.60666996993604</v>
      </c>
      <c r="Q18" s="133">
        <f>(D18+K18+D39+K39)/4</f>
        <v>393.66155752089117</v>
      </c>
      <c r="R18" s="51">
        <f>(E18+L18+E39+L39)/4</f>
        <v>375.73177250917269</v>
      </c>
      <c r="S18" s="138">
        <f>(F18+M18+F39+M39)/4</f>
        <v>992.5</v>
      </c>
      <c r="T18" s="70"/>
      <c r="U18" s="70"/>
      <c r="V18" s="70"/>
    </row>
    <row r="19" spans="2:22" x14ac:dyDescent="0.2">
      <c r="B19" s="78">
        <v>19</v>
      </c>
      <c r="C19" s="51">
        <v>165</v>
      </c>
      <c r="D19" s="51">
        <v>392</v>
      </c>
      <c r="E19" s="51">
        <v>277</v>
      </c>
      <c r="F19" s="119">
        <f>SUM(C19:E19)</f>
        <v>834</v>
      </c>
      <c r="G19" s="70"/>
      <c r="H19" s="70"/>
      <c r="I19" s="78">
        <v>19</v>
      </c>
      <c r="J19" s="51">
        <v>165</v>
      </c>
      <c r="K19" s="51">
        <v>311</v>
      </c>
      <c r="L19" s="51">
        <v>249</v>
      </c>
      <c r="M19" s="119">
        <f>SUM(J19:L19)</f>
        <v>725</v>
      </c>
      <c r="N19" s="70"/>
      <c r="O19" s="129">
        <v>19</v>
      </c>
      <c r="P19" s="51">
        <f>(C19+J19+C40+J40)/4</f>
        <v>170</v>
      </c>
      <c r="Q19" s="133">
        <f>(D19+K19+D40+K40)/4</f>
        <v>324.25</v>
      </c>
      <c r="R19" s="51">
        <f>(E19+L19+E40+L40)/4</f>
        <v>253.5</v>
      </c>
      <c r="S19" s="138">
        <f>(F19+M19+F40+M40)/4</f>
        <v>747.75</v>
      </c>
      <c r="T19" s="70"/>
      <c r="U19" s="70"/>
      <c r="V19" s="70"/>
    </row>
    <row r="20" spans="2:22" ht="17" thickBot="1" x14ac:dyDescent="0.25">
      <c r="B20" s="75">
        <v>20</v>
      </c>
      <c r="C20" s="73">
        <f>F20*C4</f>
        <v>132.96580229725026</v>
      </c>
      <c r="D20" s="73">
        <f>F20*D4</f>
        <v>232.49991298294464</v>
      </c>
      <c r="E20" s="73">
        <f>F20*E4</f>
        <v>217.53428471980507</v>
      </c>
      <c r="F20" s="120">
        <v>583</v>
      </c>
      <c r="G20" s="70"/>
      <c r="H20" s="70"/>
      <c r="I20" s="75">
        <v>20</v>
      </c>
      <c r="J20" s="73">
        <f>M20*J4</f>
        <v>178.47436007928982</v>
      </c>
      <c r="K20" s="73">
        <f>M20*K4+1</f>
        <v>310.43281909850901</v>
      </c>
      <c r="L20" s="73">
        <f>M20*L4</f>
        <v>303.09282082220119</v>
      </c>
      <c r="M20" s="120">
        <v>791</v>
      </c>
      <c r="N20" s="70"/>
      <c r="O20" s="130">
        <v>20</v>
      </c>
      <c r="P20" s="123">
        <f>(C20+J20+C41+J41)/4</f>
        <v>134.38987895045841</v>
      </c>
      <c r="Q20" s="134">
        <f>(D20+K20+D41+K41)/4</f>
        <v>236.61017003104368</v>
      </c>
      <c r="R20" s="123">
        <f>(E20+L20+E41+L41)/4</f>
        <v>225.74995101849791</v>
      </c>
      <c r="S20" s="139">
        <f>(F20+M20+F41+M41)/4</f>
        <v>596.25</v>
      </c>
      <c r="T20" s="70"/>
      <c r="U20" s="70"/>
      <c r="V20" s="70"/>
    </row>
    <row r="21" spans="2:22" x14ac:dyDescent="0.2"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</row>
    <row r="22" spans="2:22" x14ac:dyDescent="0.2">
      <c r="O22" s="70"/>
      <c r="P22" s="70"/>
      <c r="Q22" s="70"/>
      <c r="R22" s="70"/>
      <c r="S22" s="70"/>
      <c r="T22" s="70"/>
      <c r="U22" s="70"/>
      <c r="V22" s="70"/>
    </row>
    <row r="23" spans="2:22" x14ac:dyDescent="0.2">
      <c r="O23" s="70"/>
      <c r="P23" s="70"/>
      <c r="Q23" s="70"/>
      <c r="R23" s="70"/>
      <c r="S23" s="70"/>
      <c r="T23" s="70"/>
      <c r="U23" s="70"/>
      <c r="V23" s="70"/>
    </row>
    <row r="24" spans="2:22" x14ac:dyDescent="0.2">
      <c r="C24">
        <f>SUM(C31:C36,C40)</f>
        <v>2440</v>
      </c>
      <c r="D24">
        <f t="shared" ref="D24:E24" si="1">SUM(D31:D36,D40)</f>
        <v>4316</v>
      </c>
      <c r="E24">
        <f t="shared" si="1"/>
        <v>4288</v>
      </c>
      <c r="F24">
        <f>SUM(C31:E36,C40:E40)</f>
        <v>11044</v>
      </c>
      <c r="J24">
        <f>SUM(J31:J36,J40)</f>
        <v>2472</v>
      </c>
      <c r="K24">
        <f t="shared" ref="K24:L24" si="2">SUM(K31:K36,K40)</f>
        <v>4422</v>
      </c>
      <c r="L24">
        <f t="shared" si="2"/>
        <v>4052</v>
      </c>
      <c r="M24">
        <f>SUM(J31:L36,J40:L40)</f>
        <v>10946</v>
      </c>
      <c r="O24" s="70"/>
      <c r="P24" s="70"/>
      <c r="Q24" s="70"/>
      <c r="R24" s="70"/>
      <c r="S24" s="70"/>
      <c r="T24" s="70"/>
      <c r="U24" s="70"/>
      <c r="V24" s="70"/>
    </row>
    <row r="25" spans="2:22" ht="17" thickBot="1" x14ac:dyDescent="0.25">
      <c r="C25">
        <f>C24/F24</f>
        <v>0.22093444404201376</v>
      </c>
      <c r="D25">
        <f>D24/F24</f>
        <v>0.39080043462513581</v>
      </c>
      <c r="E25">
        <f>E24/F24</f>
        <v>0.3882651213328504</v>
      </c>
      <c r="F25">
        <f>SUM(C25:E25)</f>
        <v>1</v>
      </c>
      <c r="J25">
        <f>J24/M24</f>
        <v>0.22583592179791706</v>
      </c>
      <c r="K25">
        <f>K24/M24</f>
        <v>0.40398319020646811</v>
      </c>
      <c r="L25">
        <f>L24/M24</f>
        <v>0.37018088799561483</v>
      </c>
      <c r="M25">
        <f>SUM(J25:L25)</f>
        <v>1</v>
      </c>
      <c r="O25" s="70"/>
      <c r="P25" s="70"/>
      <c r="Q25" s="70"/>
      <c r="R25" s="70"/>
      <c r="S25" s="70"/>
      <c r="T25" s="70"/>
      <c r="U25" s="70"/>
      <c r="V25" s="70"/>
    </row>
    <row r="26" spans="2:22" x14ac:dyDescent="0.2">
      <c r="B26" s="92" t="s">
        <v>14</v>
      </c>
      <c r="C26" s="91"/>
      <c r="D26" s="91"/>
      <c r="E26" s="91"/>
      <c r="F26" s="90"/>
      <c r="G26" s="70"/>
      <c r="H26" s="70"/>
      <c r="I26" s="92" t="s">
        <v>13</v>
      </c>
      <c r="J26" s="91"/>
      <c r="K26" s="91"/>
      <c r="L26" s="91"/>
      <c r="M26" s="90"/>
      <c r="N26" s="70"/>
      <c r="O26" s="70"/>
      <c r="P26" s="70"/>
      <c r="Q26" s="70"/>
      <c r="R26" s="70"/>
      <c r="S26" s="70"/>
      <c r="T26" s="70"/>
      <c r="U26" s="70"/>
      <c r="V26" s="70"/>
    </row>
    <row r="27" spans="2:22" x14ac:dyDescent="0.2">
      <c r="B27" s="78"/>
      <c r="C27" s="82" t="s">
        <v>12</v>
      </c>
      <c r="D27" s="112" t="s">
        <v>11</v>
      </c>
      <c r="E27" s="112" t="s">
        <v>10</v>
      </c>
      <c r="F27" s="113" t="s">
        <v>9</v>
      </c>
      <c r="G27" s="70"/>
      <c r="H27" s="70"/>
      <c r="I27" s="78"/>
      <c r="J27" s="82" t="s">
        <v>12</v>
      </c>
      <c r="K27" s="112" t="s">
        <v>11</v>
      </c>
      <c r="L27" s="112" t="s">
        <v>10</v>
      </c>
      <c r="M27" s="113" t="s">
        <v>9</v>
      </c>
      <c r="N27" s="70"/>
      <c r="O27" s="70"/>
      <c r="P27" s="70"/>
      <c r="Q27" s="70"/>
      <c r="R27" s="70"/>
      <c r="S27" s="70"/>
      <c r="T27" s="70"/>
      <c r="U27" s="70"/>
      <c r="V27" s="70"/>
    </row>
    <row r="28" spans="2:22" x14ac:dyDescent="0.2">
      <c r="B28" s="78" t="s">
        <v>18</v>
      </c>
      <c r="C28" s="114">
        <v>451</v>
      </c>
      <c r="D28" s="115">
        <v>774</v>
      </c>
      <c r="E28" s="115">
        <v>795</v>
      </c>
      <c r="F28" s="116">
        <f>SUM(C28:E28)</f>
        <v>2020</v>
      </c>
      <c r="G28" s="70"/>
      <c r="H28" s="70"/>
      <c r="I28" s="78" t="s">
        <v>18</v>
      </c>
      <c r="J28" s="114">
        <v>451</v>
      </c>
      <c r="K28" s="115">
        <v>774</v>
      </c>
      <c r="L28" s="115">
        <v>795</v>
      </c>
      <c r="M28" s="116">
        <f>SUM(J28:L28)</f>
        <v>2020</v>
      </c>
      <c r="N28" s="70"/>
      <c r="O28" s="70"/>
      <c r="P28" s="70"/>
      <c r="Q28" s="70"/>
      <c r="R28" s="70"/>
      <c r="S28" s="70"/>
      <c r="T28" s="70"/>
      <c r="U28" s="70"/>
      <c r="V28" s="70"/>
    </row>
    <row r="29" spans="2:22" x14ac:dyDescent="0.2">
      <c r="B29" s="81">
        <v>8</v>
      </c>
      <c r="C29" s="79">
        <f>F29*C25</f>
        <v>81.082940963419048</v>
      </c>
      <c r="D29" s="79">
        <f>F29*D25+1</f>
        <v>144.42375950742485</v>
      </c>
      <c r="E29" s="79">
        <f>F29*E25</f>
        <v>142.4932995291561</v>
      </c>
      <c r="F29" s="117">
        <v>367</v>
      </c>
      <c r="G29" s="70"/>
      <c r="H29" s="70"/>
      <c r="I29" s="81">
        <v>8</v>
      </c>
      <c r="J29" s="79">
        <f>M29*J25</f>
        <v>64.814909556002192</v>
      </c>
      <c r="K29" s="79">
        <f>M29*K25</f>
        <v>115.94317558925634</v>
      </c>
      <c r="L29" s="79">
        <f>M29*L25</f>
        <v>106.24191485474145</v>
      </c>
      <c r="M29" s="117">
        <v>287</v>
      </c>
      <c r="N29" s="70"/>
      <c r="O29" s="70"/>
      <c r="P29" s="70"/>
      <c r="Q29" s="70"/>
      <c r="R29" s="70"/>
      <c r="S29" s="70"/>
      <c r="T29" s="70"/>
      <c r="U29" s="70"/>
      <c r="V29" s="70"/>
    </row>
    <row r="30" spans="2:22" x14ac:dyDescent="0.2">
      <c r="B30" s="81">
        <v>9</v>
      </c>
      <c r="C30" s="79">
        <f>F30*C25</f>
        <v>265.34226729445851</v>
      </c>
      <c r="D30" s="79">
        <f>F30*D25+1</f>
        <v>470.35132198478811</v>
      </c>
      <c r="E30" s="79">
        <f>F30*E25</f>
        <v>466.30641072075332</v>
      </c>
      <c r="F30" s="117">
        <v>1201</v>
      </c>
      <c r="G30" s="70"/>
      <c r="H30" s="70"/>
      <c r="I30" s="81">
        <v>9</v>
      </c>
      <c r="J30" s="79">
        <f>M30*J25</f>
        <v>264.00219258176503</v>
      </c>
      <c r="K30" s="79">
        <f>M30*K25</f>
        <v>472.25634935136122</v>
      </c>
      <c r="L30" s="79">
        <f>M30*L25</f>
        <v>432.74145806687375</v>
      </c>
      <c r="M30" s="117">
        <v>1169</v>
      </c>
      <c r="N30" s="70"/>
      <c r="O30" s="70"/>
      <c r="P30" s="70"/>
      <c r="Q30" s="70"/>
      <c r="R30" s="70"/>
      <c r="S30" s="70"/>
      <c r="T30" s="70"/>
      <c r="U30" s="70"/>
      <c r="V30" s="70"/>
    </row>
    <row r="31" spans="2:22" x14ac:dyDescent="0.2">
      <c r="B31" s="78">
        <v>10</v>
      </c>
      <c r="C31" s="118">
        <v>421</v>
      </c>
      <c r="D31" s="51">
        <v>641</v>
      </c>
      <c r="E31" s="51">
        <v>527</v>
      </c>
      <c r="F31" s="119">
        <f>SUM(C31:E31)</f>
        <v>1589</v>
      </c>
      <c r="G31" s="70"/>
      <c r="H31" s="70"/>
      <c r="I31" s="78">
        <v>10</v>
      </c>
      <c r="J31" s="118">
        <v>423</v>
      </c>
      <c r="K31" s="51">
        <v>669</v>
      </c>
      <c r="L31" s="51">
        <v>552</v>
      </c>
      <c r="M31" s="119">
        <f>SUM(J31:L31)</f>
        <v>1644</v>
      </c>
      <c r="N31" s="70"/>
      <c r="O31" s="70"/>
      <c r="P31" s="70"/>
      <c r="Q31" s="70"/>
      <c r="R31" s="70"/>
      <c r="S31" s="70"/>
      <c r="T31" s="70"/>
      <c r="U31" s="70"/>
      <c r="V31" s="70"/>
    </row>
    <row r="32" spans="2:22" x14ac:dyDescent="0.2">
      <c r="B32" s="78">
        <v>11</v>
      </c>
      <c r="C32" s="51">
        <v>393</v>
      </c>
      <c r="D32" s="51">
        <v>736</v>
      </c>
      <c r="E32" s="51">
        <v>738</v>
      </c>
      <c r="F32" s="119">
        <f>SUM(C32:E32)</f>
        <v>1867</v>
      </c>
      <c r="G32" s="70"/>
      <c r="H32" s="70"/>
      <c r="I32" s="78">
        <v>11</v>
      </c>
      <c r="J32" s="51">
        <v>377</v>
      </c>
      <c r="K32" s="51">
        <v>715</v>
      </c>
      <c r="L32" s="51">
        <v>678</v>
      </c>
      <c r="M32" s="119">
        <f>SUM(J32:L32)</f>
        <v>1770</v>
      </c>
      <c r="N32" s="70"/>
      <c r="O32" s="70"/>
      <c r="P32" s="70"/>
      <c r="Q32" s="70"/>
      <c r="R32" s="70"/>
      <c r="S32" s="70"/>
      <c r="T32" s="70"/>
      <c r="U32" s="70"/>
      <c r="V32" s="70"/>
    </row>
    <row r="33" spans="2:22" x14ac:dyDescent="0.2">
      <c r="B33" s="78">
        <v>12</v>
      </c>
      <c r="C33" s="51">
        <v>394</v>
      </c>
      <c r="D33" s="51">
        <v>726</v>
      </c>
      <c r="E33" s="51">
        <v>752</v>
      </c>
      <c r="F33" s="119">
        <f>SUM(C33:E33)</f>
        <v>1872</v>
      </c>
      <c r="G33" s="70"/>
      <c r="H33" s="70"/>
      <c r="I33" s="78">
        <v>12</v>
      </c>
      <c r="J33" s="51">
        <v>400</v>
      </c>
      <c r="K33" s="51">
        <v>739</v>
      </c>
      <c r="L33" s="51">
        <v>691</v>
      </c>
      <c r="M33" s="119">
        <f>SUM(J33:L33)</f>
        <v>1830</v>
      </c>
      <c r="N33" s="70"/>
      <c r="O33" s="70"/>
      <c r="P33" s="70"/>
      <c r="Q33" s="70"/>
      <c r="R33" s="70"/>
      <c r="S33" s="70"/>
      <c r="T33" s="70"/>
      <c r="U33" s="70"/>
      <c r="V33" s="70"/>
    </row>
    <row r="34" spans="2:22" x14ac:dyDescent="0.2">
      <c r="B34" s="78">
        <v>13</v>
      </c>
      <c r="C34" s="51">
        <v>394</v>
      </c>
      <c r="D34" s="51">
        <v>679</v>
      </c>
      <c r="E34" s="51">
        <v>717</v>
      </c>
      <c r="F34" s="119">
        <f>SUM(C34:E34)</f>
        <v>1790</v>
      </c>
      <c r="G34" s="70"/>
      <c r="H34" s="70"/>
      <c r="I34" s="78">
        <v>13</v>
      </c>
      <c r="J34" s="51">
        <v>378</v>
      </c>
      <c r="K34" s="51">
        <v>710</v>
      </c>
      <c r="L34" s="51">
        <v>685</v>
      </c>
      <c r="M34" s="119">
        <f>SUM(J34:L34)</f>
        <v>1773</v>
      </c>
      <c r="N34" s="70"/>
      <c r="O34" s="70"/>
      <c r="P34" s="70"/>
      <c r="Q34" s="70"/>
      <c r="R34" s="70"/>
      <c r="S34" s="70"/>
      <c r="T34" s="70"/>
      <c r="U34" s="70"/>
      <c r="V34" s="70"/>
    </row>
    <row r="35" spans="2:22" x14ac:dyDescent="0.2">
      <c r="B35" s="78">
        <v>14</v>
      </c>
      <c r="C35" s="51">
        <v>313</v>
      </c>
      <c r="D35" s="51">
        <v>648</v>
      </c>
      <c r="E35" s="51">
        <v>677</v>
      </c>
      <c r="F35" s="119">
        <f>SUM(C35:E35)</f>
        <v>1638</v>
      </c>
      <c r="G35" s="70"/>
      <c r="H35" s="70"/>
      <c r="I35" s="78">
        <v>14</v>
      </c>
      <c r="J35" s="51">
        <v>368</v>
      </c>
      <c r="K35" s="51">
        <v>687</v>
      </c>
      <c r="L35" s="51">
        <v>666</v>
      </c>
      <c r="M35" s="119">
        <f>SUM(J35:L35)</f>
        <v>1721</v>
      </c>
      <c r="N35" s="70"/>
      <c r="O35" s="70"/>
      <c r="P35" s="70"/>
      <c r="Q35" s="70"/>
      <c r="R35" s="70"/>
      <c r="S35" s="70"/>
      <c r="T35" s="70"/>
      <c r="U35" s="70"/>
      <c r="V35" s="70"/>
    </row>
    <row r="36" spans="2:22" x14ac:dyDescent="0.2">
      <c r="B36" s="78">
        <v>15</v>
      </c>
      <c r="C36" s="51">
        <v>348</v>
      </c>
      <c r="D36" s="51">
        <v>599</v>
      </c>
      <c r="E36" s="51">
        <v>628</v>
      </c>
      <c r="F36" s="119">
        <f>SUM(C36:E36)</f>
        <v>1575</v>
      </c>
      <c r="G36" s="70"/>
      <c r="H36" s="70"/>
      <c r="I36" s="78">
        <v>15</v>
      </c>
      <c r="J36" s="51">
        <v>353</v>
      </c>
      <c r="K36" s="51">
        <v>595</v>
      </c>
      <c r="L36" s="51">
        <v>541</v>
      </c>
      <c r="M36" s="119">
        <f>SUM(J36:L36)</f>
        <v>1489</v>
      </c>
      <c r="N36" s="70"/>
      <c r="O36" s="70"/>
      <c r="P36" s="70"/>
      <c r="Q36" s="70"/>
      <c r="R36" s="70"/>
      <c r="S36" s="70"/>
      <c r="T36" s="70"/>
      <c r="U36" s="70"/>
      <c r="V36" s="70"/>
    </row>
    <row r="37" spans="2:22" x14ac:dyDescent="0.2">
      <c r="B37" s="81">
        <v>16</v>
      </c>
      <c r="C37" s="79">
        <f>F37*C25</f>
        <v>277.05179282868528</v>
      </c>
      <c r="D37" s="79">
        <f>F37*D25</f>
        <v>490.0637450199203</v>
      </c>
      <c r="E37" s="79">
        <f>F37*E25</f>
        <v>486.88446215139442</v>
      </c>
      <c r="F37" s="117">
        <v>1254</v>
      </c>
      <c r="G37" s="70"/>
      <c r="H37" s="70"/>
      <c r="I37" s="81">
        <v>16</v>
      </c>
      <c r="J37" s="79">
        <f>M37*J25</f>
        <v>325.88123515439435</v>
      </c>
      <c r="K37" s="79">
        <f>M37*K25</f>
        <v>582.94774346793349</v>
      </c>
      <c r="L37" s="79">
        <f>M37*L25</f>
        <v>534.17102137767222</v>
      </c>
      <c r="M37" s="117">
        <v>1443</v>
      </c>
      <c r="N37" s="70"/>
      <c r="O37" s="70"/>
      <c r="P37" s="70"/>
      <c r="Q37" s="70"/>
      <c r="R37" s="70"/>
      <c r="S37" s="70"/>
      <c r="T37" s="70"/>
      <c r="U37" s="70"/>
      <c r="V37" s="70"/>
    </row>
    <row r="38" spans="2:22" x14ac:dyDescent="0.2">
      <c r="B38" s="81">
        <v>17</v>
      </c>
      <c r="C38" s="79">
        <f>F38*C25</f>
        <v>251.42339731981167</v>
      </c>
      <c r="D38" s="79">
        <f>F38*D25</f>
        <v>444.73089460340452</v>
      </c>
      <c r="E38" s="79">
        <f>F38*E25</f>
        <v>441.84570807678375</v>
      </c>
      <c r="F38" s="117">
        <v>1138</v>
      </c>
      <c r="G38" s="70"/>
      <c r="H38" s="70"/>
      <c r="I38" s="81">
        <v>17</v>
      </c>
      <c r="J38" s="79">
        <f>M38*J25</f>
        <v>299.2325963822401</v>
      </c>
      <c r="K38" s="79">
        <f>M38*K25+1</f>
        <v>536.27772702357026</v>
      </c>
      <c r="L38" s="79">
        <f>M38*L25</f>
        <v>490.48967659418963</v>
      </c>
      <c r="M38" s="117">
        <v>1325</v>
      </c>
      <c r="N38" s="70"/>
      <c r="O38" s="70"/>
      <c r="P38" s="70"/>
      <c r="Q38" s="70"/>
      <c r="R38" s="70"/>
      <c r="S38" s="70"/>
      <c r="T38" s="70"/>
      <c r="U38" s="70"/>
      <c r="V38" s="70"/>
    </row>
    <row r="39" spans="2:22" x14ac:dyDescent="0.2">
      <c r="B39" s="81">
        <v>18</v>
      </c>
      <c r="C39" s="79">
        <f>F39*C25</f>
        <v>180.50344078232524</v>
      </c>
      <c r="D39" s="79">
        <f>F39*D25</f>
        <v>319.28395508873598</v>
      </c>
      <c r="E39" s="79">
        <f>F39*E25</f>
        <v>317.21260412893878</v>
      </c>
      <c r="F39" s="117">
        <v>817</v>
      </c>
      <c r="G39" s="70"/>
      <c r="H39" s="70"/>
      <c r="I39" s="81">
        <v>18</v>
      </c>
      <c r="J39" s="79">
        <f>M39*J25</f>
        <v>225.1584140325233</v>
      </c>
      <c r="K39" s="79">
        <f>M39*K25</f>
        <v>402.7712406358487</v>
      </c>
      <c r="L39" s="79">
        <f>M39*L25</f>
        <v>369.070345331628</v>
      </c>
      <c r="M39" s="117">
        <v>997</v>
      </c>
      <c r="N39" s="70"/>
      <c r="O39" s="70"/>
      <c r="P39" s="70"/>
      <c r="Q39" s="70"/>
      <c r="R39" s="70"/>
      <c r="S39" s="70"/>
      <c r="T39" s="70"/>
      <c r="U39" s="70"/>
      <c r="V39" s="70"/>
    </row>
    <row r="40" spans="2:22" x14ac:dyDescent="0.2">
      <c r="B40" s="78">
        <v>19</v>
      </c>
      <c r="C40" s="51">
        <v>177</v>
      </c>
      <c r="D40" s="51">
        <v>287</v>
      </c>
      <c r="E40" s="51">
        <v>249</v>
      </c>
      <c r="F40" s="119">
        <f>SUM(C40:E40)</f>
        <v>713</v>
      </c>
      <c r="G40" s="70"/>
      <c r="H40" s="70"/>
      <c r="I40" s="78">
        <v>19</v>
      </c>
      <c r="J40" s="51">
        <v>173</v>
      </c>
      <c r="K40" s="51">
        <v>307</v>
      </c>
      <c r="L40" s="51">
        <v>239</v>
      </c>
      <c r="M40" s="119">
        <f>SUM(J40:L40)</f>
        <v>719</v>
      </c>
      <c r="N40" s="70"/>
      <c r="O40" s="70"/>
      <c r="P40" s="70"/>
      <c r="Q40" s="70"/>
      <c r="R40" s="70"/>
      <c r="S40" s="70"/>
      <c r="T40" s="70"/>
      <c r="U40" s="70"/>
      <c r="V40" s="70"/>
    </row>
    <row r="41" spans="2:22" ht="17" thickBot="1" x14ac:dyDescent="0.25">
      <c r="B41" s="75">
        <v>20</v>
      </c>
      <c r="C41" s="73">
        <f>F41*C25</f>
        <v>99.199565374864179</v>
      </c>
      <c r="D41" s="73">
        <f>F41*D25+1</f>
        <v>176.46939514668597</v>
      </c>
      <c r="E41" s="73">
        <f>F41*E25</f>
        <v>174.33103947844984</v>
      </c>
      <c r="F41" s="120">
        <v>449</v>
      </c>
      <c r="G41" s="70"/>
      <c r="H41" s="70"/>
      <c r="I41" s="75">
        <v>20</v>
      </c>
      <c r="J41" s="73">
        <f>M41*J25</f>
        <v>126.91978805042939</v>
      </c>
      <c r="K41" s="73">
        <f>M41*K25</f>
        <v>227.03855289603507</v>
      </c>
      <c r="L41" s="73">
        <f>M41*L25</f>
        <v>208.04165905353554</v>
      </c>
      <c r="M41" s="120">
        <v>562</v>
      </c>
      <c r="N41" s="70"/>
      <c r="O41" s="70"/>
      <c r="P41" s="70"/>
      <c r="Q41" s="70"/>
      <c r="R41" s="70"/>
      <c r="S41" s="70"/>
      <c r="T41" s="70"/>
      <c r="U41" s="70"/>
      <c r="V41" s="70"/>
    </row>
    <row r="42" spans="2:22" x14ac:dyDescent="0.2"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</row>
    <row r="43" spans="2:22" x14ac:dyDescent="0.2"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</row>
    <row r="44" spans="2:22" ht="17" thickBot="1" x14ac:dyDescent="0.25"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</row>
    <row r="45" spans="2:22" ht="18" thickBot="1" x14ac:dyDescent="0.25">
      <c r="B45" s="109" t="s">
        <v>2</v>
      </c>
      <c r="C45" s="89" t="s">
        <v>8</v>
      </c>
      <c r="D45" s="88" t="s">
        <v>7</v>
      </c>
      <c r="E45" s="89" t="s">
        <v>6</v>
      </c>
      <c r="F45" s="88" t="s">
        <v>5</v>
      </c>
      <c r="G45" s="87" t="s">
        <v>4</v>
      </c>
      <c r="H45" s="86" t="s">
        <v>3</v>
      </c>
      <c r="I45" s="70"/>
      <c r="J45" s="108" t="s">
        <v>1</v>
      </c>
      <c r="O45" s="70"/>
      <c r="P45" s="70"/>
      <c r="Q45" s="70"/>
      <c r="R45" s="70"/>
      <c r="S45" s="70"/>
      <c r="T45" s="70"/>
      <c r="U45" s="70"/>
      <c r="V45" s="70"/>
    </row>
    <row r="46" spans="2:22" x14ac:dyDescent="0.2">
      <c r="B46" s="78"/>
      <c r="C46" s="82" t="s">
        <v>2</v>
      </c>
      <c r="D46" s="112"/>
      <c r="E46" s="112"/>
      <c r="F46" s="121"/>
      <c r="G46" s="77"/>
      <c r="H46" s="76"/>
      <c r="I46" s="70"/>
      <c r="J46" s="52" t="s">
        <v>0</v>
      </c>
      <c r="K46" s="53">
        <v>10</v>
      </c>
      <c r="L46" s="28">
        <v>11</v>
      </c>
      <c r="M46" s="28">
        <v>24</v>
      </c>
      <c r="N46" s="54">
        <v>25</v>
      </c>
      <c r="O46" s="70"/>
      <c r="P46" s="70"/>
      <c r="Q46" s="70"/>
      <c r="R46" s="70"/>
      <c r="S46" s="70"/>
      <c r="T46" s="70"/>
      <c r="U46" s="70"/>
      <c r="V46" s="70"/>
    </row>
    <row r="47" spans="2:22" x14ac:dyDescent="0.2">
      <c r="B47" s="78" t="s">
        <v>18</v>
      </c>
      <c r="C47" s="114">
        <v>413</v>
      </c>
      <c r="D47" s="115"/>
      <c r="E47" s="115"/>
      <c r="F47" s="122"/>
      <c r="G47" s="77"/>
      <c r="H47" s="85"/>
      <c r="I47" s="70"/>
      <c r="J47" s="93">
        <v>8.0150249999999996</v>
      </c>
      <c r="K47" s="94">
        <f>534.965-C48</f>
        <v>353.54500000000002</v>
      </c>
      <c r="L47" s="94">
        <f>550.9725-D48</f>
        <v>366.56249999999994</v>
      </c>
      <c r="M47" s="94">
        <f>476.335-E48</f>
        <v>325.08499999999998</v>
      </c>
      <c r="N47" s="95">
        <f>462.8975-F48</f>
        <v>287.39749999999998</v>
      </c>
      <c r="O47" s="70"/>
      <c r="P47" s="70"/>
      <c r="Q47" s="70"/>
      <c r="R47" s="70"/>
      <c r="S47" s="70"/>
      <c r="T47" s="70"/>
      <c r="U47" s="70"/>
      <c r="V47" s="70"/>
    </row>
    <row r="48" spans="2:22" x14ac:dyDescent="0.2">
      <c r="B48" s="81">
        <v>8</v>
      </c>
      <c r="C48" s="110">
        <f>C60+32.67</f>
        <v>181.42000000000002</v>
      </c>
      <c r="D48" s="83">
        <f>D60+41.67</f>
        <v>184.41000000000003</v>
      </c>
      <c r="E48" s="84">
        <f>E60+40</f>
        <v>151.25</v>
      </c>
      <c r="F48" s="83">
        <f>F60+51</f>
        <v>175.5</v>
      </c>
      <c r="G48" s="82">
        <f>(C48+D48+E48+F48)/4</f>
        <v>173.14500000000001</v>
      </c>
      <c r="H48" s="76">
        <f>G48/413*100</f>
        <v>41.923728813559322</v>
      </c>
      <c r="I48" s="70"/>
      <c r="J48" s="96">
        <v>8.9756499999999999</v>
      </c>
      <c r="K48" s="97">
        <f>1410.39-C49</f>
        <v>1196.3000000000002</v>
      </c>
      <c r="L48" s="98">
        <f>1427-D49</f>
        <v>1200.92</v>
      </c>
      <c r="M48" s="98">
        <f>1452.415-E49</f>
        <v>1261.165</v>
      </c>
      <c r="N48" s="99">
        <f>1395.2675-F49</f>
        <v>1168.7674999999999</v>
      </c>
      <c r="O48" s="70"/>
      <c r="P48" s="70"/>
      <c r="Q48" s="70"/>
      <c r="R48" s="70"/>
      <c r="S48" s="70"/>
      <c r="T48" s="70"/>
      <c r="U48" s="70"/>
      <c r="V48" s="70"/>
    </row>
    <row r="49" spans="2:22" x14ac:dyDescent="0.2">
      <c r="B49" s="81">
        <v>9</v>
      </c>
      <c r="C49" s="110">
        <f>C48+32.67</f>
        <v>214.09000000000003</v>
      </c>
      <c r="D49" s="110">
        <f>D48+41.67</f>
        <v>226.08000000000004</v>
      </c>
      <c r="E49" s="80">
        <f>E48+40</f>
        <v>191.25</v>
      </c>
      <c r="F49" s="80">
        <f>F48+51</f>
        <v>226.5</v>
      </c>
      <c r="G49" s="77">
        <f>(C49+D49+E49+F49)/4</f>
        <v>214.48000000000002</v>
      </c>
      <c r="H49" s="76">
        <f>G49/413*100</f>
        <v>51.932203389830512</v>
      </c>
      <c r="I49" s="70"/>
      <c r="J49" s="96">
        <v>9.9870249999999992</v>
      </c>
      <c r="K49" s="97">
        <f>1803.5625-C50</f>
        <v>1556.5625</v>
      </c>
      <c r="L49" s="98">
        <f>1652.0075-D50</f>
        <v>1384.0074999999999</v>
      </c>
      <c r="M49" s="98">
        <f>1784.4825-E50</f>
        <v>1553.4825000000001</v>
      </c>
      <c r="N49" s="99">
        <f>1655.8375-F50</f>
        <v>1377.8375000000001</v>
      </c>
      <c r="O49" s="70"/>
      <c r="P49" s="70"/>
      <c r="Q49" s="70"/>
      <c r="R49" s="70"/>
      <c r="S49" s="70"/>
      <c r="T49" s="70"/>
      <c r="U49" s="70"/>
      <c r="V49" s="70"/>
    </row>
    <row r="50" spans="2:22" x14ac:dyDescent="0.2">
      <c r="B50" s="78">
        <v>10</v>
      </c>
      <c r="C50" s="111">
        <v>247</v>
      </c>
      <c r="D50" s="111">
        <v>268</v>
      </c>
      <c r="E50" s="77">
        <v>231</v>
      </c>
      <c r="F50" s="111">
        <v>278</v>
      </c>
      <c r="G50" s="77">
        <f>(C50+D50+E50+F50)/4</f>
        <v>256</v>
      </c>
      <c r="H50" s="76">
        <f>G50/413*100</f>
        <v>61.985472154963681</v>
      </c>
      <c r="I50" s="70"/>
      <c r="J50" s="100">
        <v>10.991275</v>
      </c>
      <c r="K50" s="101">
        <f>2032.59-C51</f>
        <v>1754.59</v>
      </c>
      <c r="L50" s="102">
        <f>2055.2625-D51</f>
        <v>1791.2624999999998</v>
      </c>
      <c r="M50" s="102">
        <f>2106.39-E51</f>
        <v>1845.3899999999999</v>
      </c>
      <c r="N50" s="103">
        <f>1948.8075-F51</f>
        <v>1686.8074999999999</v>
      </c>
      <c r="O50" s="70"/>
      <c r="P50" s="70"/>
      <c r="Q50" s="70"/>
      <c r="R50" s="70"/>
      <c r="S50" s="70"/>
      <c r="T50" s="70"/>
      <c r="U50" s="70"/>
      <c r="V50" s="70"/>
    </row>
    <row r="51" spans="2:22" x14ac:dyDescent="0.2">
      <c r="B51" s="78">
        <v>11</v>
      </c>
      <c r="C51" s="111">
        <v>278</v>
      </c>
      <c r="D51" s="111">
        <v>264</v>
      </c>
      <c r="E51" s="77">
        <v>261</v>
      </c>
      <c r="F51" s="111">
        <v>262</v>
      </c>
      <c r="G51" s="77">
        <f>(C51+D51+E51+F51)/4</f>
        <v>266.25</v>
      </c>
      <c r="H51" s="76">
        <f>G51/413*100</f>
        <v>64.467312348668287</v>
      </c>
      <c r="I51" s="70"/>
      <c r="J51" s="100">
        <v>12.001249999999999</v>
      </c>
      <c r="K51" s="101">
        <f>2068.3725-C52</f>
        <v>1765.3724999999999</v>
      </c>
      <c r="L51" s="102">
        <f>2078.735-D52</f>
        <v>1800.7350000000001</v>
      </c>
      <c r="M51" s="102">
        <f>2161.76-E52</f>
        <v>1891.7600000000002</v>
      </c>
      <c r="N51" s="103">
        <f>2043.59-F52</f>
        <v>1761.59</v>
      </c>
      <c r="O51" s="70"/>
      <c r="P51" s="70"/>
      <c r="Q51" s="70"/>
      <c r="R51" s="70"/>
      <c r="S51" s="70"/>
      <c r="T51" s="70"/>
      <c r="U51" s="70"/>
      <c r="V51" s="70"/>
    </row>
    <row r="52" spans="2:22" x14ac:dyDescent="0.2">
      <c r="B52" s="78">
        <v>12</v>
      </c>
      <c r="C52" s="111">
        <v>303</v>
      </c>
      <c r="D52" s="111">
        <v>278</v>
      </c>
      <c r="E52" s="77">
        <v>270</v>
      </c>
      <c r="F52" s="111">
        <v>282</v>
      </c>
      <c r="G52" s="77">
        <f>(C52+D52+E52+F52)/4</f>
        <v>283.25</v>
      </c>
      <c r="H52" s="76">
        <f>G52/413*100</f>
        <v>68.583535108958841</v>
      </c>
      <c r="I52" s="70"/>
      <c r="J52" s="100">
        <v>13.002825</v>
      </c>
      <c r="K52" s="101">
        <f>2134.5825-C53</f>
        <v>1850.5825</v>
      </c>
      <c r="L52" s="102">
        <f>2103.02-D53</f>
        <v>1808.02</v>
      </c>
      <c r="M52" s="102">
        <f>2248.9725-E53</f>
        <v>1960.9724999999999</v>
      </c>
      <c r="N52" s="103">
        <f>2124.7325-F53</f>
        <v>1836.7325000000001</v>
      </c>
      <c r="O52" s="70"/>
      <c r="P52" s="70"/>
      <c r="Q52" s="70"/>
      <c r="R52" s="70"/>
      <c r="S52" s="70"/>
      <c r="T52" s="70"/>
      <c r="U52" s="70"/>
      <c r="V52" s="70"/>
    </row>
    <row r="53" spans="2:22" x14ac:dyDescent="0.2">
      <c r="B53" s="78">
        <v>13</v>
      </c>
      <c r="C53" s="111">
        <v>284</v>
      </c>
      <c r="D53" s="111">
        <v>295</v>
      </c>
      <c r="E53" s="77">
        <v>288</v>
      </c>
      <c r="F53" s="111">
        <v>288</v>
      </c>
      <c r="G53" s="77">
        <f>(C53+D53+E53+F53)/4</f>
        <v>288.75</v>
      </c>
      <c r="H53" s="76">
        <f>G53/413*100</f>
        <v>69.915254237288138</v>
      </c>
      <c r="I53" s="70"/>
      <c r="J53" s="100">
        <v>14.006500000000001</v>
      </c>
      <c r="K53" s="101">
        <f>1846.7075-C54</f>
        <v>1560.7075</v>
      </c>
      <c r="L53" s="102">
        <f>1900.6075-D54</f>
        <v>1615.6075000000001</v>
      </c>
      <c r="M53" s="102">
        <f>2097.88-E54</f>
        <v>1831.88</v>
      </c>
      <c r="N53" s="103">
        <f>1991.735-F54</f>
        <v>1716.7349999999999</v>
      </c>
      <c r="O53" s="70"/>
      <c r="P53" s="70"/>
      <c r="Q53" s="70"/>
      <c r="R53" s="70"/>
      <c r="S53" s="70"/>
      <c r="T53" s="70"/>
      <c r="U53" s="70"/>
      <c r="V53" s="70"/>
    </row>
    <row r="54" spans="2:22" x14ac:dyDescent="0.2">
      <c r="B54" s="78">
        <v>14</v>
      </c>
      <c r="C54" s="111">
        <v>286</v>
      </c>
      <c r="D54" s="111">
        <v>285</v>
      </c>
      <c r="E54" s="77">
        <v>266</v>
      </c>
      <c r="F54" s="111">
        <v>275</v>
      </c>
      <c r="G54" s="77">
        <f>(C54+D54+E54+F54)/4</f>
        <v>278</v>
      </c>
      <c r="H54" s="76">
        <f>G54/413*100</f>
        <v>67.312348668280876</v>
      </c>
      <c r="I54" s="70"/>
      <c r="J54" s="100">
        <v>15.01125</v>
      </c>
      <c r="K54" s="101">
        <f>1877.605-C55</f>
        <v>1597.605</v>
      </c>
      <c r="L54" s="102">
        <f>1875.5825-D55</f>
        <v>1611.5825</v>
      </c>
      <c r="M54" s="102">
        <f>2061.0925-E55</f>
        <v>1776.0925000000002</v>
      </c>
      <c r="N54" s="103">
        <f>1948.62-F55</f>
        <v>1696.62</v>
      </c>
      <c r="O54" s="70"/>
      <c r="P54" s="70"/>
      <c r="Q54" s="70"/>
      <c r="R54" s="70"/>
      <c r="S54" s="70"/>
      <c r="T54" s="70"/>
      <c r="U54" s="70"/>
      <c r="V54" s="70"/>
    </row>
    <row r="55" spans="2:22" x14ac:dyDescent="0.2">
      <c r="B55" s="78">
        <v>15</v>
      </c>
      <c r="C55" s="111">
        <v>280</v>
      </c>
      <c r="D55" s="111">
        <v>264</v>
      </c>
      <c r="E55" s="77">
        <v>285</v>
      </c>
      <c r="F55" s="111">
        <v>252</v>
      </c>
      <c r="G55" s="77">
        <f>(C55+D55+E55+F55)/4</f>
        <v>270.25</v>
      </c>
      <c r="H55" s="76">
        <f>G55/413*100</f>
        <v>65.435835351089594</v>
      </c>
      <c r="I55" s="70"/>
      <c r="J55" s="100">
        <v>16.013199999999998</v>
      </c>
      <c r="K55" s="101">
        <f>1615.3575-C56</f>
        <v>1361.6075000000001</v>
      </c>
      <c r="L55" s="102">
        <f>1493.9175-D56</f>
        <v>1254.1775</v>
      </c>
      <c r="M55" s="102">
        <f>1819.5575-E56</f>
        <v>1569.3074999999999</v>
      </c>
      <c r="N55" s="103">
        <f>1669.5825-F56</f>
        <v>1443.0825</v>
      </c>
      <c r="O55" s="70"/>
      <c r="P55" s="70"/>
      <c r="Q55" s="70"/>
      <c r="R55" s="70"/>
      <c r="S55" s="70"/>
      <c r="T55" s="70"/>
      <c r="U55" s="70"/>
      <c r="V55" s="70"/>
    </row>
    <row r="56" spans="2:22" x14ac:dyDescent="0.2">
      <c r="B56" s="81">
        <v>16</v>
      </c>
      <c r="C56" s="110">
        <f>C55-26.25</f>
        <v>253.75</v>
      </c>
      <c r="D56" s="110">
        <f>D55-24.26</f>
        <v>239.74</v>
      </c>
      <c r="E56" s="80">
        <f>E55-34.75</f>
        <v>250.25</v>
      </c>
      <c r="F56" s="110">
        <f>F55-25.5</f>
        <v>226.5</v>
      </c>
      <c r="G56" s="77">
        <f>(C56+D56+E56+F56)/4</f>
        <v>242.56</v>
      </c>
      <c r="H56" s="76">
        <f>G56/413*100</f>
        <v>58.731234866828089</v>
      </c>
      <c r="I56" s="70"/>
      <c r="J56" s="100">
        <v>17.0185</v>
      </c>
      <c r="K56" s="101">
        <f>1516.165-C57</f>
        <v>1288.665</v>
      </c>
      <c r="L56" s="102">
        <f>1353.1625-D57</f>
        <v>1137.6824999999999</v>
      </c>
      <c r="M56" s="102">
        <f>1696.82-E57</f>
        <v>1481.32</v>
      </c>
      <c r="N56" s="103">
        <f>1526.0375-F57</f>
        <v>1325.0374999999999</v>
      </c>
      <c r="O56" s="70"/>
      <c r="P56" s="70"/>
      <c r="Q56" s="70"/>
      <c r="R56" s="70"/>
      <c r="S56" s="70"/>
      <c r="T56" s="70"/>
      <c r="U56" s="70"/>
      <c r="V56" s="70"/>
    </row>
    <row r="57" spans="2:22" x14ac:dyDescent="0.2">
      <c r="B57" s="81">
        <v>17</v>
      </c>
      <c r="C57" s="110">
        <f>C56-26.25</f>
        <v>227.5</v>
      </c>
      <c r="D57" s="110">
        <f>D56-24.26</f>
        <v>215.48000000000002</v>
      </c>
      <c r="E57" s="80">
        <f>E56-34.75</f>
        <v>215.5</v>
      </c>
      <c r="F57" s="110">
        <f>F56-25.5</f>
        <v>201</v>
      </c>
      <c r="G57" s="77">
        <f>(C57+D57+E57+F57)/4</f>
        <v>214.87</v>
      </c>
      <c r="H57" s="76">
        <f>G57/413*100</f>
        <v>52.026634382566584</v>
      </c>
      <c r="I57" s="70"/>
      <c r="J57" s="100">
        <v>18.021325000000001</v>
      </c>
      <c r="K57" s="101">
        <f>1144.7625-C58</f>
        <v>943.51250000000005</v>
      </c>
      <c r="L57" s="102">
        <f>1007.91-D58</f>
        <v>816.68999999999994</v>
      </c>
      <c r="M57" s="102">
        <f>1392.9325-E58</f>
        <v>1212.1824999999999</v>
      </c>
      <c r="N57" s="103">
        <f>1172.9325-F58</f>
        <v>997.43249999999989</v>
      </c>
      <c r="O57" s="70"/>
      <c r="P57" s="70"/>
      <c r="Q57" s="70"/>
      <c r="R57" s="70"/>
      <c r="S57" s="70"/>
      <c r="T57" s="70"/>
      <c r="U57" s="70"/>
      <c r="V57" s="70"/>
    </row>
    <row r="58" spans="2:22" x14ac:dyDescent="0.2">
      <c r="B58" s="81">
        <v>18</v>
      </c>
      <c r="C58" s="110">
        <f>C57-26.25</f>
        <v>201.25</v>
      </c>
      <c r="D58" s="110">
        <f>D57-24.26</f>
        <v>191.22000000000003</v>
      </c>
      <c r="E58" s="80">
        <f>E57-34.75</f>
        <v>180.75</v>
      </c>
      <c r="F58" s="110">
        <f>F57-25.5</f>
        <v>175.5</v>
      </c>
      <c r="G58" s="77">
        <f>(C58+D58+E58+F58)/4</f>
        <v>187.18</v>
      </c>
      <c r="H58" s="76">
        <f>G58/413*100</f>
        <v>45.322033898305087</v>
      </c>
      <c r="I58" s="70"/>
      <c r="J58" s="100">
        <v>19.024149999999999</v>
      </c>
      <c r="K58" s="101">
        <f>1006.2325-C59</f>
        <v>831.23249999999996</v>
      </c>
      <c r="L58" s="102">
        <f>874.7875-D59</f>
        <v>707.78750000000002</v>
      </c>
      <c r="M58" s="102">
        <f>1227.115-E59</f>
        <v>1081.115</v>
      </c>
      <c r="N58" s="103">
        <f>1063.2275-F59</f>
        <v>913.22749999999996</v>
      </c>
      <c r="O58" s="70"/>
      <c r="P58" s="70"/>
      <c r="Q58" s="70"/>
      <c r="R58" s="70"/>
      <c r="S58" s="70"/>
      <c r="T58" s="70"/>
      <c r="U58" s="70"/>
      <c r="V58" s="70"/>
    </row>
    <row r="59" spans="2:22" ht="17" thickBot="1" x14ac:dyDescent="0.25">
      <c r="B59" s="78">
        <v>19</v>
      </c>
      <c r="C59" s="111">
        <v>175</v>
      </c>
      <c r="D59" s="111">
        <v>167</v>
      </c>
      <c r="E59" s="77">
        <v>146</v>
      </c>
      <c r="F59" s="111">
        <v>150</v>
      </c>
      <c r="G59" s="77">
        <f>(C59+D59+E59+F59)/4</f>
        <v>159.5</v>
      </c>
      <c r="H59" s="76">
        <f>G59/413*100</f>
        <v>38.619854721549636</v>
      </c>
      <c r="I59" s="70"/>
      <c r="J59" s="104">
        <v>19.974024999999997</v>
      </c>
      <c r="K59" s="105">
        <f>731.6375-C60</f>
        <v>582.88750000000005</v>
      </c>
      <c r="L59" s="106">
        <f>591.62-D60</f>
        <v>448.88</v>
      </c>
      <c r="M59" s="106">
        <f>901.915-E60</f>
        <v>790.66499999999996</v>
      </c>
      <c r="N59" s="107">
        <f>686.12-F60</f>
        <v>561.62</v>
      </c>
    </row>
    <row r="60" spans="2:22" ht="17" thickBot="1" x14ac:dyDescent="0.25">
      <c r="B60" s="75">
        <v>20</v>
      </c>
      <c r="C60" s="73">
        <f>C59-26.25</f>
        <v>148.75</v>
      </c>
      <c r="D60" s="73">
        <f>D59-24.26</f>
        <v>142.74</v>
      </c>
      <c r="E60" s="74">
        <f>E59-34.75</f>
        <v>111.25</v>
      </c>
      <c r="F60" s="73">
        <f>F59-25.5</f>
        <v>124.5</v>
      </c>
      <c r="G60" s="72">
        <f>(C60+D60+E60+F60)/4</f>
        <v>131.81</v>
      </c>
      <c r="H60" s="71">
        <f>G60/413*100</f>
        <v>31.915254237288138</v>
      </c>
      <c r="I60" s="70"/>
      <c r="J60" s="70"/>
      <c r="K60" s="70"/>
      <c r="L60" s="70"/>
      <c r="M60" s="70"/>
      <c r="N60" s="70"/>
    </row>
    <row r="61" spans="2:22" x14ac:dyDescent="0.2"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</row>
    <row r="62" spans="2:22" x14ac:dyDescent="0.2"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</row>
  </sheetData>
  <mergeCells count="5">
    <mergeCell ref="B5:F5"/>
    <mergeCell ref="B26:F26"/>
    <mergeCell ref="I5:M5"/>
    <mergeCell ref="I26:M26"/>
    <mergeCell ref="O5:S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</vt:lpstr>
      <vt:lpstr>Convert</vt:lpstr>
      <vt:lpstr>Tables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2019-05-31T13:52:02Z</dcterms:created>
  <dcterms:modified xsi:type="dcterms:W3CDTF">2019-05-31T16:45:36Z</dcterms:modified>
</cp:coreProperties>
</file>